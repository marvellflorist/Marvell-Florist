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<sst xmlns="http://schemas.openxmlformats.org/spreadsheetml/2006/main" count="422" uniqueCount="226">
  <si>
    <t xml:space="preserve">12A </t>
  </si>
  <si>
    <t>Average</t>
  </si>
  <si>
    <t>A. Goal Setting &amp; Prioritizing</t>
  </si>
  <si>
    <t>B. Planning &amp; Scheduling</t>
  </si>
  <si>
    <t>C. Organization &amp; Tools</t>
  </si>
  <si>
    <t>D. Execution &amp; Monitoring</t>
  </si>
  <si>
    <t>E. Efficiency &amp; Effectiveness</t>
  </si>
  <si>
    <t>F.</t>
  </si>
  <si>
    <t>G.</t>
  </si>
  <si>
    <t>Goal setting &amp; Prioritizing</t>
  </si>
  <si>
    <t>Planning &amp; scheduling</t>
  </si>
  <si>
    <t>Organization and Tools</t>
  </si>
  <si>
    <t>Execution and Monitoring</t>
  </si>
  <si>
    <t>Efficiency and Effectiveness</t>
  </si>
  <si>
    <t>Self Regulation and Protection of Time</t>
  </si>
  <si>
    <t>Awareness, Balance and Reflection</t>
  </si>
  <si>
    <t>Albert Tannesa</t>
  </si>
  <si>
    <t>Andi Muh. Fachriza Hariadi</t>
  </si>
  <si>
    <t>Austin Johnathan Lai</t>
  </si>
  <si>
    <t>Clara Rapunjel</t>
  </si>
  <si>
    <t>86,52</t>
  </si>
  <si>
    <t>Daniswara Susanto</t>
  </si>
  <si>
    <t>Dilbert Lawrent</t>
  </si>
  <si>
    <t>97,50</t>
  </si>
  <si>
    <t>Handerson Ricolle</t>
  </si>
  <si>
    <t>80,14</t>
  </si>
  <si>
    <t>Jason Muwardi</t>
  </si>
  <si>
    <t>Jennifer Lim</t>
  </si>
  <si>
    <t>94,36</t>
  </si>
  <si>
    <t>Jenny Ong</t>
  </si>
  <si>
    <t>85,35</t>
  </si>
  <si>
    <t>Joan Tifeny</t>
  </si>
  <si>
    <t>Joanna Ozora</t>
  </si>
  <si>
    <t>Joey Victoria Lin</t>
  </si>
  <si>
    <t>Justin Hezeki Lee</t>
  </si>
  <si>
    <t>84,51</t>
  </si>
  <si>
    <t>Kendrew</t>
  </si>
  <si>
    <t>74,71</t>
  </si>
  <si>
    <t>Lovelynz Fransisca</t>
  </si>
  <si>
    <t>Margareth Munthe</t>
  </si>
  <si>
    <t>86,63</t>
  </si>
  <si>
    <t>R.A. Isabelle Candice Veerena</t>
  </si>
  <si>
    <t>Rachael Evelyn Sihombing</t>
  </si>
  <si>
    <t>84,56</t>
  </si>
  <si>
    <t>Raoul Rodriguez Lee</t>
  </si>
  <si>
    <t>89,35</t>
  </si>
  <si>
    <t>Said Fariz Ibral</t>
  </si>
  <si>
    <t>Sergio Giovanno</t>
  </si>
  <si>
    <t>Terry Happinessta</t>
  </si>
  <si>
    <t>95,50</t>
  </si>
  <si>
    <t>Theona Felicia</t>
  </si>
  <si>
    <t>80,21</t>
  </si>
  <si>
    <t>Wilbert Wong</t>
  </si>
  <si>
    <t>Alfredo Enduro</t>
  </si>
  <si>
    <t>Angelica Rucy</t>
  </si>
  <si>
    <t>Angelina Tan</t>
  </si>
  <si>
    <t>88,75</t>
  </si>
  <si>
    <t>Angellyn Natasya Willim</t>
  </si>
  <si>
    <t>Celestine Florence Lie</t>
  </si>
  <si>
    <t>Cherryl Sariputri</t>
  </si>
  <si>
    <t>Dasalla Lim Li Ying</t>
  </si>
  <si>
    <t>90,28</t>
  </si>
  <si>
    <t>Delbert Alfonso Winata</t>
  </si>
  <si>
    <t>83,52</t>
  </si>
  <si>
    <t>Faylinn Gwendollen</t>
  </si>
  <si>
    <t>Filbert</t>
  </si>
  <si>
    <t>Gavrill Kwok</t>
  </si>
  <si>
    <t>Herbert Valentino</t>
  </si>
  <si>
    <t>86,7</t>
  </si>
  <si>
    <t>Hewit Ferdinand Lim</t>
  </si>
  <si>
    <t>Ivy Aprlyene</t>
  </si>
  <si>
    <t>Joicelyn Lim</t>
  </si>
  <si>
    <t>Mac Arthurson</t>
  </si>
  <si>
    <t>Michelle Wudyson</t>
  </si>
  <si>
    <t>97,68</t>
  </si>
  <si>
    <t>Nelson Chia</t>
  </si>
  <si>
    <t>82,50</t>
  </si>
  <si>
    <t>Sharen Clarence</t>
  </si>
  <si>
    <t>92,67</t>
  </si>
  <si>
    <t>Stanley Mark</t>
  </si>
  <si>
    <t>92,78</t>
  </si>
  <si>
    <t>Stephanie Ang</t>
  </si>
  <si>
    <t>Vantrice Carriedee</t>
  </si>
  <si>
    <t>Yesselyn Tan</t>
  </si>
  <si>
    <t>85,52</t>
  </si>
  <si>
    <t>Yvonne</t>
  </si>
  <si>
    <t>91,57</t>
  </si>
  <si>
    <t>Andi</t>
  </si>
  <si>
    <t>Angello Wijaya</t>
  </si>
  <si>
    <t>85,20</t>
  </si>
  <si>
    <t>Azzah Joohsumnida Dara Lamza</t>
  </si>
  <si>
    <t>Carissa Angelina</t>
  </si>
  <si>
    <t>93,63</t>
  </si>
  <si>
    <t>Chelsea Javia Tan</t>
  </si>
  <si>
    <t>88,38</t>
  </si>
  <si>
    <t>Clarissa Putri Dianto</t>
  </si>
  <si>
    <t>84,53</t>
  </si>
  <si>
    <t>Deanna</t>
  </si>
  <si>
    <t>86,49</t>
  </si>
  <si>
    <t>Eileen</t>
  </si>
  <si>
    <t>Eky Almubaraq Maulana</t>
  </si>
  <si>
    <t>80,67</t>
  </si>
  <si>
    <t>Elvis Darren</t>
  </si>
  <si>
    <t>Fidella Sonia Dharmadji</t>
  </si>
  <si>
    <t>91,29</t>
  </si>
  <si>
    <t>Giselle Jecellin Lie</t>
  </si>
  <si>
    <t>91,25</t>
  </si>
  <si>
    <t>Go Samuel</t>
  </si>
  <si>
    <t>James Steven Halim</t>
  </si>
  <si>
    <t>93,65</t>
  </si>
  <si>
    <t>Jaysen</t>
  </si>
  <si>
    <t>Kenny Mahardika Pramana</t>
  </si>
  <si>
    <t>Keren Phebe Phangnesia</t>
  </si>
  <si>
    <t>Luis Lie Nardo</t>
  </si>
  <si>
    <t>82,97</t>
  </si>
  <si>
    <t>Rachel Olivia Zhuang</t>
  </si>
  <si>
    <t>95,32</t>
  </si>
  <si>
    <t>Riandhika Fayyadh Andriyanto</t>
  </si>
  <si>
    <t>Ruth Ceryn Selviana</t>
  </si>
  <si>
    <t>Saluka Hiola</t>
  </si>
  <si>
    <t>Tristan Constantiniely Bernard Sitorus</t>
  </si>
  <si>
    <t>Vianisa Gallemit</t>
  </si>
  <si>
    <t>83,78</t>
  </si>
  <si>
    <t>Viona Seah</t>
  </si>
  <si>
    <t>Zaskia Anggita</t>
  </si>
  <si>
    <t>Alif Fath Akilah</t>
  </si>
  <si>
    <t>85,67</t>
  </si>
  <si>
    <t>Aulya Carissa Putri</t>
  </si>
  <si>
    <t>Cesario De Mok</t>
  </si>
  <si>
    <t>84,65</t>
  </si>
  <si>
    <t>Christian Daniel</t>
  </si>
  <si>
    <t>83,58</t>
  </si>
  <si>
    <t>Christian Nathanael</t>
  </si>
  <si>
    <t>80,25</t>
  </si>
  <si>
    <t>Crystell Jeanne Ainisarah</t>
  </si>
  <si>
    <t>93,64</t>
  </si>
  <si>
    <t>David Lay</t>
  </si>
  <si>
    <t>82,91</t>
  </si>
  <si>
    <t>Enzo Deharryl Hatta</t>
  </si>
  <si>
    <t>93,56</t>
  </si>
  <si>
    <t>Felice Gavrilla Ng</t>
  </si>
  <si>
    <t>88,67</t>
  </si>
  <si>
    <t>Felix Hwang</t>
  </si>
  <si>
    <t>78,81</t>
  </si>
  <si>
    <t>Georgia Michelle</t>
  </si>
  <si>
    <t>93,40</t>
  </si>
  <si>
    <t>Gleasson Lorrenz Fu</t>
  </si>
  <si>
    <t>83,39</t>
  </si>
  <si>
    <t>Harby Pangestu</t>
  </si>
  <si>
    <t>Hengky Chew</t>
  </si>
  <si>
    <t>86,82</t>
  </si>
  <si>
    <t>Jocelyn Hsin</t>
  </si>
  <si>
    <t>Joelle Alexandrea</t>
  </si>
  <si>
    <t>88,76</t>
  </si>
  <si>
    <t>Jovan Setioputro</t>
  </si>
  <si>
    <t>92,50</t>
  </si>
  <si>
    <t>Joyce Angeline</t>
  </si>
  <si>
    <t>92,57</t>
  </si>
  <si>
    <t>Kayleen Fayola</t>
  </si>
  <si>
    <t>93,61</t>
  </si>
  <si>
    <t>Kenzie Mubdi Athaillah</t>
  </si>
  <si>
    <t>81,56</t>
  </si>
  <si>
    <t>Madeline Nathania Thamrin</t>
  </si>
  <si>
    <t>Mavis Louisa</t>
  </si>
  <si>
    <t>91,78</t>
  </si>
  <si>
    <t>Muhammad Daffa Azzikry</t>
  </si>
  <si>
    <t>Muthia Islamy Aulia</t>
  </si>
  <si>
    <t>84,96</t>
  </si>
  <si>
    <t>Nicholas Liauw</t>
  </si>
  <si>
    <t>Angela Sylvie</t>
  </si>
  <si>
    <t>84,57</t>
  </si>
  <si>
    <t>Angeline Veronica</t>
  </si>
  <si>
    <t>90,4</t>
  </si>
  <si>
    <t>Braywin Carssen Lee</t>
  </si>
  <si>
    <t>Cherisse Mansyur</t>
  </si>
  <si>
    <t>Christian Lie</t>
  </si>
  <si>
    <t>Derickson Lie</t>
  </si>
  <si>
    <t>96,78</t>
  </si>
  <si>
    <t>Ervando Stefanos Low</t>
  </si>
  <si>
    <t>Felix Henley</t>
  </si>
  <si>
    <t>82,43</t>
  </si>
  <si>
    <t>Fernandeuz Limcardo</t>
  </si>
  <si>
    <t>Franscolin Gan</t>
  </si>
  <si>
    <t>82,71</t>
  </si>
  <si>
    <t>Hellin Olivia</t>
  </si>
  <si>
    <t>89,56</t>
  </si>
  <si>
    <t>Jackson Wu</t>
  </si>
  <si>
    <t>79,75</t>
  </si>
  <si>
    <t>Jessica Wijaya</t>
  </si>
  <si>
    <t>80,18</t>
  </si>
  <si>
    <t>Jesslyn Zhang</t>
  </si>
  <si>
    <t>94,65</t>
  </si>
  <si>
    <t>Kaylyn Tiffany</t>
  </si>
  <si>
    <t>92,56</t>
  </si>
  <si>
    <t>Kendrick Alexander Yap</t>
  </si>
  <si>
    <t>Kevin Lee</t>
  </si>
  <si>
    <t>Nachelle Khezia</t>
  </si>
  <si>
    <t>Osbert Siddhartha Tan</t>
  </si>
  <si>
    <t>93,94</t>
  </si>
  <si>
    <t>Rexandro Kingsli</t>
  </si>
  <si>
    <t>Ruella Engracia</t>
  </si>
  <si>
    <t>89,65</t>
  </si>
  <si>
    <t>Valeria Ashlynn Kho</t>
  </si>
  <si>
    <t>90,89</t>
  </si>
  <si>
    <t>Velove Yeoh</t>
  </si>
  <si>
    <t>87,53</t>
  </si>
  <si>
    <t>Wellson Susanto</t>
  </si>
  <si>
    <t>Willardi Jatmiko</t>
  </si>
  <si>
    <t>75,69</t>
  </si>
  <si>
    <t>AVERAGE AVERAGE AVERAGE AVEAGEAVERAGE AVERAGE AVERAGE AVEAGEAVERAGE AVERAGE AVERAGE AVEAGEAVERAGE AVERAGE AVERAGE AVEAGEAVERAGE AVERAGE AVERAGE AVEAGE</t>
  </si>
  <si>
    <t>average</t>
  </si>
  <si>
    <t>min</t>
  </si>
  <si>
    <t>Shinita Kho</t>
  </si>
  <si>
    <t>max</t>
  </si>
  <si>
    <t>Darren Angelo Zhang</t>
  </si>
  <si>
    <t>Louis Laurence</t>
  </si>
  <si>
    <t>pearson corr</t>
  </si>
  <si>
    <t>Marshall Adelio Phan</t>
  </si>
  <si>
    <t>Vincent</t>
  </si>
  <si>
    <t>Hasya Danirmala Putri Arthadira</t>
  </si>
  <si>
    <t>Valda Vebry Tan</t>
  </si>
  <si>
    <t>Carissa Christina</t>
  </si>
  <si>
    <t>Chris Lya</t>
  </si>
  <si>
    <t>Lois Fayanoc</t>
  </si>
  <si>
    <t>Jolynn</t>
  </si>
  <si>
    <t>syahidah binti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</si>
</sst>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&quot;Google Sans&quot;"/>
    </font>
    <font>
      <b/>
      <sz val="11.0"/>
      <color theme="1"/>
      <name val="Arial"/>
      <scheme val="minor"/>
    </font>
    <font>
      <color theme="1"/>
      <name val="Arial"/>
      <scheme val="minor"/>
    </font>
    <font/>
    <font>
      <b/>
      <sz val="9.0"/>
      <color theme="1"/>
      <name val="Arial"/>
      <scheme val="minor"/>
    </font>
    <font>
      <b/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5" numFmtId="0" xfId="0" applyFill="1" applyFont="1"/>
    <xf borderId="1" fillId="0" fontId="2" numFmtId="0" xfId="0" applyAlignment="1" applyBorder="1" applyFont="1">
      <alignment readingOrder="0"/>
    </xf>
    <xf borderId="2" fillId="0" fontId="6" numFmtId="0" xfId="0" applyBorder="1" applyFont="1"/>
    <xf borderId="3" fillId="0" fontId="2" numFmtId="0" xfId="0" applyAlignment="1" applyBorder="1" applyFont="1">
      <alignment readingOrder="0"/>
    </xf>
    <xf borderId="3" fillId="0" fontId="5" numFmtId="0" xfId="0" applyBorder="1" applyFont="1"/>
    <xf borderId="3" fillId="0" fontId="7" numFmtId="0" xfId="0" applyAlignment="1" applyBorder="1" applyFont="1">
      <alignment readingOrder="0"/>
    </xf>
    <xf borderId="0" fillId="3" fontId="5" numFmtId="0" xfId="0" applyAlignment="1" applyFill="1" applyFont="1">
      <alignment readingOrder="0"/>
    </xf>
    <xf borderId="1" fillId="0" fontId="5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horizontal="right" readingOrder="0"/>
    </xf>
    <xf borderId="0" fillId="4" fontId="2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4" fontId="5" numFmtId="0" xfId="0" applyAlignment="1" applyFont="1">
      <alignment horizontal="right" readingOrder="0"/>
    </xf>
    <xf borderId="0" fillId="6" fontId="5" numFmtId="0" xfId="0" applyAlignment="1" applyFill="1" applyFont="1">
      <alignment readingOrder="0"/>
    </xf>
    <xf borderId="0" fillId="6" fontId="5" numFmtId="0" xfId="0" applyAlignment="1" applyFont="1">
      <alignment horizontal="left"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8" numFmtId="0" xfId="0" applyAlignment="1" applyFill="1" applyFont="1">
      <alignment horizontal="center" readingOrder="0"/>
    </xf>
    <xf borderId="0" fillId="9" fontId="5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10" fontId="5" numFmtId="0" xfId="0" applyFont="1"/>
    <xf borderId="0" fillId="9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Sheet1!$AM$1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Sheet1!$AM$2:$AM$134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368850"/>
        <c:axId val="1444914493"/>
      </c:scatterChart>
      <c:valAx>
        <c:axId val="8323688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914493"/>
      </c:valAx>
      <c:valAx>
        <c:axId val="1444914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368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1114425</xdr:colOff>
      <xdr:row>0</xdr:row>
      <xdr:rowOff>238125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9" max="52" width="14.75"/>
  </cols>
  <sheetData>
    <row r="1">
      <c r="A1" s="1" t="s">
        <v>0</v>
      </c>
      <c r="B1" s="2" t="s">
        <v>1</v>
      </c>
      <c r="C1" s="3" t="s">
        <v>2</v>
      </c>
      <c r="E1" s="4" t="s">
        <v>3</v>
      </c>
      <c r="J1" s="4" t="s">
        <v>4</v>
      </c>
      <c r="L1" s="4" t="s">
        <v>5</v>
      </c>
      <c r="O1" s="5" t="s">
        <v>6</v>
      </c>
      <c r="Q1" s="6" t="s">
        <v>7</v>
      </c>
      <c r="T1" s="6" t="s">
        <v>8</v>
      </c>
      <c r="W1" s="7"/>
      <c r="X1" s="8" t="s">
        <v>9</v>
      </c>
      <c r="Y1" s="9"/>
      <c r="Z1" s="8" t="s">
        <v>10</v>
      </c>
      <c r="AA1" s="9"/>
      <c r="AB1" s="10" t="s">
        <v>11</v>
      </c>
      <c r="AC1" s="11"/>
      <c r="AD1" s="10" t="s">
        <v>12</v>
      </c>
      <c r="AE1" s="11"/>
      <c r="AF1" s="10" t="s">
        <v>13</v>
      </c>
      <c r="AG1" s="11"/>
      <c r="AH1" s="12" t="s">
        <v>14</v>
      </c>
      <c r="AI1" s="12" t="s">
        <v>14</v>
      </c>
      <c r="AJ1" s="10" t="s">
        <v>15</v>
      </c>
      <c r="AK1" s="11"/>
    </row>
    <row r="2">
      <c r="A2" s="13" t="s">
        <v>16</v>
      </c>
      <c r="B2" s="6">
        <v>91.5</v>
      </c>
      <c r="C2" s="6">
        <v>3.0</v>
      </c>
      <c r="D2" s="6">
        <v>5.0</v>
      </c>
      <c r="E2" s="6">
        <v>2.0</v>
      </c>
      <c r="F2" s="6">
        <v>3.0</v>
      </c>
      <c r="G2" s="6">
        <v>3.0</v>
      </c>
      <c r="H2" s="6">
        <v>2.0</v>
      </c>
      <c r="I2" s="6">
        <v>2.0</v>
      </c>
      <c r="J2" s="6">
        <v>3.0</v>
      </c>
      <c r="K2" s="6">
        <v>2.0</v>
      </c>
      <c r="L2" s="6">
        <v>1.0</v>
      </c>
      <c r="M2" s="6">
        <v>4.0</v>
      </c>
      <c r="N2" s="6">
        <v>3.0</v>
      </c>
      <c r="O2" s="6">
        <v>1.0</v>
      </c>
      <c r="P2" s="6">
        <v>2.0</v>
      </c>
      <c r="Q2" s="6">
        <v>1.0</v>
      </c>
      <c r="R2" s="6">
        <v>4.0</v>
      </c>
      <c r="S2" s="6">
        <v>3.0</v>
      </c>
      <c r="T2" s="6">
        <v>2.0</v>
      </c>
      <c r="U2" s="6">
        <v>5.0</v>
      </c>
      <c r="V2" s="6">
        <v>3.0</v>
      </c>
      <c r="W2" s="7"/>
      <c r="X2" s="14">
        <f t="shared" ref="X2:X126" si="1">AVERAGE(C2,D2)</f>
        <v>4</v>
      </c>
      <c r="Y2" s="9"/>
      <c r="Z2" s="14">
        <f t="shared" ref="Z2:Z126" si="2">AVERAGE(E2,F2,G2,H2,I2)</f>
        <v>2.4</v>
      </c>
      <c r="AA2" s="9"/>
      <c r="AB2" s="14">
        <f t="shared" ref="AB2:AB126" si="3">average(J2:K2)</f>
        <v>2.5</v>
      </c>
      <c r="AC2" s="9"/>
      <c r="AD2" s="14">
        <f t="shared" ref="AD2:AD126" si="4">average(L2:N2)</f>
        <v>2.666666667</v>
      </c>
      <c r="AE2" s="9"/>
      <c r="AF2" s="14">
        <f t="shared" ref="AF2:AF126" si="5">AVERAGE(O2:P2)</f>
        <v>1.5</v>
      </c>
      <c r="AG2" s="9"/>
      <c r="AH2" s="14">
        <f t="shared" ref="AH2:AH126" si="6">AVERAGE(Q2:S2)</f>
        <v>2.666666667</v>
      </c>
      <c r="AI2" s="9"/>
      <c r="AJ2" s="14">
        <f t="shared" ref="AJ2:AJ126" si="7">AVERAGE(T2:V2)</f>
        <v>3.333333333</v>
      </c>
      <c r="AK2" s="9"/>
      <c r="AL2" s="13" t="s">
        <v>16</v>
      </c>
      <c r="AM2" s="15">
        <f t="shared" ref="AM2:AM126" si="8">AVERAGE(X2:AK2)</f>
        <v>2.723809524</v>
      </c>
      <c r="AN2" s="6">
        <v>91.5</v>
      </c>
    </row>
    <row r="3">
      <c r="A3" s="13" t="s">
        <v>17</v>
      </c>
      <c r="B3" s="6">
        <v>85.6</v>
      </c>
      <c r="C3" s="6">
        <v>5.0</v>
      </c>
      <c r="D3" s="6">
        <v>3.0</v>
      </c>
      <c r="E3" s="6">
        <v>3.0</v>
      </c>
      <c r="F3" s="6">
        <v>3.0</v>
      </c>
      <c r="G3" s="6">
        <v>4.0</v>
      </c>
      <c r="H3" s="6">
        <v>4.0</v>
      </c>
      <c r="I3" s="6">
        <v>4.0</v>
      </c>
      <c r="J3" s="6">
        <v>4.0</v>
      </c>
      <c r="K3" s="6">
        <v>3.0</v>
      </c>
      <c r="L3" s="6">
        <v>2.0</v>
      </c>
      <c r="M3" s="6">
        <v>4.0</v>
      </c>
      <c r="N3" s="6">
        <v>3.0</v>
      </c>
      <c r="O3" s="6">
        <v>2.0</v>
      </c>
      <c r="P3" s="6">
        <v>3.0</v>
      </c>
      <c r="Q3" s="6">
        <v>3.0</v>
      </c>
      <c r="R3" s="6">
        <v>4.0</v>
      </c>
      <c r="S3" s="6">
        <v>4.0</v>
      </c>
      <c r="T3" s="6">
        <v>5.0</v>
      </c>
      <c r="U3" s="6">
        <v>4.0</v>
      </c>
      <c r="V3" s="6">
        <v>4.0</v>
      </c>
      <c r="W3" s="7"/>
      <c r="X3" s="14">
        <f t="shared" si="1"/>
        <v>4</v>
      </c>
      <c r="Y3" s="9"/>
      <c r="Z3" s="14">
        <f t="shared" si="2"/>
        <v>3.6</v>
      </c>
      <c r="AA3" s="9"/>
      <c r="AB3" s="14">
        <f t="shared" si="3"/>
        <v>3.5</v>
      </c>
      <c r="AC3" s="9"/>
      <c r="AD3" s="14">
        <f t="shared" si="4"/>
        <v>3</v>
      </c>
      <c r="AE3" s="9"/>
      <c r="AF3" s="14">
        <f t="shared" si="5"/>
        <v>2.5</v>
      </c>
      <c r="AG3" s="9"/>
      <c r="AH3" s="14">
        <f t="shared" si="6"/>
        <v>3.666666667</v>
      </c>
      <c r="AI3" s="9"/>
      <c r="AJ3" s="14">
        <f t="shared" si="7"/>
        <v>4.333333333</v>
      </c>
      <c r="AK3" s="9"/>
      <c r="AL3" s="13" t="s">
        <v>17</v>
      </c>
      <c r="AM3" s="15">
        <f t="shared" si="8"/>
        <v>3.514285714</v>
      </c>
      <c r="AN3" s="6">
        <v>85.6</v>
      </c>
    </row>
    <row r="4">
      <c r="A4" s="13" t="s">
        <v>18</v>
      </c>
      <c r="B4" s="16">
        <v>86.54</v>
      </c>
      <c r="C4" s="6">
        <v>3.0</v>
      </c>
      <c r="D4" s="6">
        <v>2.0</v>
      </c>
      <c r="E4" s="6">
        <v>3.0</v>
      </c>
      <c r="F4" s="6">
        <v>3.0</v>
      </c>
      <c r="G4" s="6">
        <v>3.0</v>
      </c>
      <c r="H4" s="6">
        <v>1.0</v>
      </c>
      <c r="I4" s="6">
        <v>5.0</v>
      </c>
      <c r="J4" s="6">
        <v>4.0</v>
      </c>
      <c r="K4" s="6">
        <v>4.0</v>
      </c>
      <c r="L4" s="6">
        <v>2.0</v>
      </c>
      <c r="M4" s="6">
        <v>4.0</v>
      </c>
      <c r="N4" s="6">
        <v>4.0</v>
      </c>
      <c r="O4" s="6">
        <v>3.0</v>
      </c>
      <c r="P4" s="6">
        <v>2.0</v>
      </c>
      <c r="Q4" s="6">
        <v>2.0</v>
      </c>
      <c r="R4" s="6">
        <v>3.0</v>
      </c>
      <c r="S4" s="6">
        <v>3.0</v>
      </c>
      <c r="T4" s="6">
        <v>3.0</v>
      </c>
      <c r="U4" s="6">
        <v>3.0</v>
      </c>
      <c r="V4" s="6">
        <v>3.0</v>
      </c>
      <c r="W4" s="7"/>
      <c r="X4" s="14">
        <f t="shared" si="1"/>
        <v>2.5</v>
      </c>
      <c r="Y4" s="9"/>
      <c r="Z4" s="14">
        <f t="shared" si="2"/>
        <v>3</v>
      </c>
      <c r="AA4" s="9"/>
      <c r="AB4" s="14">
        <f t="shared" si="3"/>
        <v>4</v>
      </c>
      <c r="AC4" s="9"/>
      <c r="AD4" s="14">
        <f t="shared" si="4"/>
        <v>3.333333333</v>
      </c>
      <c r="AE4" s="9"/>
      <c r="AF4" s="14">
        <f t="shared" si="5"/>
        <v>2.5</v>
      </c>
      <c r="AG4" s="9"/>
      <c r="AH4" s="14">
        <f t="shared" si="6"/>
        <v>2.666666667</v>
      </c>
      <c r="AI4" s="9"/>
      <c r="AJ4" s="14">
        <f t="shared" si="7"/>
        <v>3</v>
      </c>
      <c r="AK4" s="9"/>
      <c r="AL4" s="13" t="s">
        <v>18</v>
      </c>
      <c r="AM4" s="15">
        <f t="shared" si="8"/>
        <v>3</v>
      </c>
      <c r="AN4" s="16">
        <v>86.54</v>
      </c>
    </row>
    <row r="5">
      <c r="A5" s="13" t="s">
        <v>19</v>
      </c>
      <c r="B5" s="16" t="s">
        <v>20</v>
      </c>
      <c r="C5" s="6">
        <v>3.0</v>
      </c>
      <c r="D5" s="6">
        <v>3.0</v>
      </c>
      <c r="E5" s="6">
        <v>2.0</v>
      </c>
      <c r="F5" s="6">
        <v>4.0</v>
      </c>
      <c r="G5" s="6">
        <v>2.0</v>
      </c>
      <c r="H5" s="6">
        <v>3.0</v>
      </c>
      <c r="I5" s="6">
        <v>2.0</v>
      </c>
      <c r="J5" s="6">
        <v>3.0</v>
      </c>
      <c r="K5" s="6">
        <v>1.0</v>
      </c>
      <c r="L5" s="6">
        <v>3.0</v>
      </c>
      <c r="M5" s="6">
        <v>2.0</v>
      </c>
      <c r="N5" s="6">
        <v>3.0</v>
      </c>
      <c r="O5" s="6">
        <v>3.0</v>
      </c>
      <c r="P5" s="6">
        <v>3.0</v>
      </c>
      <c r="Q5" s="6">
        <v>1.0</v>
      </c>
      <c r="R5" s="6">
        <v>4.0</v>
      </c>
      <c r="S5" s="6">
        <v>3.0</v>
      </c>
      <c r="T5" s="6">
        <v>3.0</v>
      </c>
      <c r="U5" s="6">
        <v>3.0</v>
      </c>
      <c r="V5" s="6">
        <v>3.0</v>
      </c>
      <c r="W5" s="7"/>
      <c r="X5" s="14">
        <f t="shared" si="1"/>
        <v>3</v>
      </c>
      <c r="Y5" s="9"/>
      <c r="Z5" s="14">
        <f t="shared" si="2"/>
        <v>2.6</v>
      </c>
      <c r="AA5" s="9"/>
      <c r="AB5" s="14">
        <f t="shared" si="3"/>
        <v>2</v>
      </c>
      <c r="AC5" s="9"/>
      <c r="AD5" s="14">
        <f t="shared" si="4"/>
        <v>2.666666667</v>
      </c>
      <c r="AE5" s="9"/>
      <c r="AF5" s="14">
        <f t="shared" si="5"/>
        <v>3</v>
      </c>
      <c r="AG5" s="9"/>
      <c r="AH5" s="14">
        <f t="shared" si="6"/>
        <v>2.666666667</v>
      </c>
      <c r="AI5" s="9"/>
      <c r="AJ5" s="14">
        <f t="shared" si="7"/>
        <v>3</v>
      </c>
      <c r="AK5" s="9"/>
      <c r="AL5" s="13" t="s">
        <v>19</v>
      </c>
      <c r="AM5" s="15">
        <f t="shared" si="8"/>
        <v>2.704761905</v>
      </c>
      <c r="AN5" s="16" t="s">
        <v>20</v>
      </c>
    </row>
    <row r="6">
      <c r="A6" s="13" t="s">
        <v>21</v>
      </c>
      <c r="B6" s="16">
        <v>78.5</v>
      </c>
      <c r="C6" s="6">
        <v>4.0</v>
      </c>
      <c r="D6" s="6">
        <v>3.0</v>
      </c>
      <c r="E6" s="6">
        <v>2.0</v>
      </c>
      <c r="F6" s="6">
        <v>3.0</v>
      </c>
      <c r="G6" s="6">
        <v>2.0</v>
      </c>
      <c r="H6" s="6">
        <v>3.0</v>
      </c>
      <c r="I6" s="6">
        <v>2.0</v>
      </c>
      <c r="J6" s="6">
        <v>4.0</v>
      </c>
      <c r="K6" s="6">
        <v>1.0</v>
      </c>
      <c r="L6" s="6">
        <v>3.0</v>
      </c>
      <c r="M6" s="6">
        <v>4.0</v>
      </c>
      <c r="N6" s="6">
        <v>1.0</v>
      </c>
      <c r="O6" s="6">
        <v>4.0</v>
      </c>
      <c r="P6" s="6">
        <v>3.0</v>
      </c>
      <c r="Q6" s="6">
        <v>3.0</v>
      </c>
      <c r="R6" s="6">
        <v>4.0</v>
      </c>
      <c r="S6" s="6">
        <v>4.0</v>
      </c>
      <c r="T6" s="6">
        <v>2.0</v>
      </c>
      <c r="U6" s="6">
        <v>3.0</v>
      </c>
      <c r="V6" s="6">
        <v>3.0</v>
      </c>
      <c r="W6" s="7"/>
      <c r="X6" s="14">
        <f t="shared" si="1"/>
        <v>3.5</v>
      </c>
      <c r="Y6" s="9"/>
      <c r="Z6" s="14">
        <f t="shared" si="2"/>
        <v>2.4</v>
      </c>
      <c r="AA6" s="9"/>
      <c r="AB6" s="14">
        <f t="shared" si="3"/>
        <v>2.5</v>
      </c>
      <c r="AC6" s="9"/>
      <c r="AD6" s="14">
        <f t="shared" si="4"/>
        <v>2.666666667</v>
      </c>
      <c r="AE6" s="9"/>
      <c r="AF6" s="14">
        <f t="shared" si="5"/>
        <v>3.5</v>
      </c>
      <c r="AG6" s="9"/>
      <c r="AH6" s="14">
        <f t="shared" si="6"/>
        <v>3.666666667</v>
      </c>
      <c r="AI6" s="9"/>
      <c r="AJ6" s="14">
        <f t="shared" si="7"/>
        <v>2.666666667</v>
      </c>
      <c r="AK6" s="9"/>
      <c r="AL6" s="13" t="s">
        <v>21</v>
      </c>
      <c r="AM6" s="15">
        <f t="shared" si="8"/>
        <v>2.985714286</v>
      </c>
      <c r="AN6" s="16">
        <v>78.5</v>
      </c>
    </row>
    <row r="7">
      <c r="A7" s="13" t="s">
        <v>22</v>
      </c>
      <c r="B7" s="16" t="s">
        <v>23</v>
      </c>
      <c r="C7" s="6">
        <v>3.0</v>
      </c>
      <c r="D7" s="6">
        <v>4.0</v>
      </c>
      <c r="E7" s="6">
        <v>4.0</v>
      </c>
      <c r="F7" s="6">
        <v>3.0</v>
      </c>
      <c r="G7" s="6">
        <v>3.0</v>
      </c>
      <c r="H7" s="6">
        <v>2.0</v>
      </c>
      <c r="I7" s="6">
        <v>4.0</v>
      </c>
      <c r="J7" s="6">
        <v>3.0</v>
      </c>
      <c r="K7" s="6">
        <v>2.0</v>
      </c>
      <c r="L7" s="6">
        <v>4.0</v>
      </c>
      <c r="M7" s="6">
        <v>2.0</v>
      </c>
      <c r="N7" s="6">
        <v>3.0</v>
      </c>
      <c r="O7" s="6">
        <v>4.0</v>
      </c>
      <c r="P7" s="6">
        <v>2.0</v>
      </c>
      <c r="Q7" s="6">
        <v>3.0</v>
      </c>
      <c r="R7" s="6">
        <v>3.0</v>
      </c>
      <c r="S7" s="6">
        <v>2.0</v>
      </c>
      <c r="T7" s="6">
        <v>2.0</v>
      </c>
      <c r="U7" s="6">
        <v>3.0</v>
      </c>
      <c r="V7" s="6">
        <v>4.0</v>
      </c>
      <c r="W7" s="7"/>
      <c r="X7" s="14">
        <f t="shared" si="1"/>
        <v>3.5</v>
      </c>
      <c r="Y7" s="9"/>
      <c r="Z7" s="14">
        <f t="shared" si="2"/>
        <v>3.2</v>
      </c>
      <c r="AA7" s="9"/>
      <c r="AB7" s="14">
        <f t="shared" si="3"/>
        <v>2.5</v>
      </c>
      <c r="AC7" s="9"/>
      <c r="AD7" s="14">
        <f t="shared" si="4"/>
        <v>3</v>
      </c>
      <c r="AE7" s="9"/>
      <c r="AF7" s="14">
        <f t="shared" si="5"/>
        <v>3</v>
      </c>
      <c r="AG7" s="9"/>
      <c r="AH7" s="14">
        <f t="shared" si="6"/>
        <v>2.666666667</v>
      </c>
      <c r="AI7" s="9"/>
      <c r="AJ7" s="14">
        <f t="shared" si="7"/>
        <v>3</v>
      </c>
      <c r="AK7" s="9"/>
      <c r="AL7" s="13" t="s">
        <v>22</v>
      </c>
      <c r="AM7" s="15">
        <f t="shared" si="8"/>
        <v>2.980952381</v>
      </c>
      <c r="AN7" s="16" t="s">
        <v>23</v>
      </c>
    </row>
    <row r="8">
      <c r="A8" s="13" t="s">
        <v>24</v>
      </c>
      <c r="B8" s="16" t="s">
        <v>25</v>
      </c>
      <c r="C8" s="6">
        <v>5.0</v>
      </c>
      <c r="D8" s="6">
        <v>2.0</v>
      </c>
      <c r="E8" s="6">
        <v>4.0</v>
      </c>
      <c r="F8" s="6">
        <v>3.0</v>
      </c>
      <c r="G8" s="6">
        <v>5.0</v>
      </c>
      <c r="H8" s="6">
        <v>1.0</v>
      </c>
      <c r="I8" s="6">
        <v>5.0</v>
      </c>
      <c r="J8" s="6">
        <v>1.0</v>
      </c>
      <c r="K8" s="6">
        <v>5.0</v>
      </c>
      <c r="L8" s="6">
        <v>3.0</v>
      </c>
      <c r="M8" s="6">
        <v>4.0</v>
      </c>
      <c r="N8" s="6">
        <v>1.0</v>
      </c>
      <c r="O8" s="6">
        <v>4.0</v>
      </c>
      <c r="P8" s="6">
        <v>3.0</v>
      </c>
      <c r="Q8" s="6">
        <v>3.0</v>
      </c>
      <c r="R8" s="6">
        <v>3.0</v>
      </c>
      <c r="S8" s="6">
        <v>3.0</v>
      </c>
      <c r="T8" s="6">
        <v>2.0</v>
      </c>
      <c r="U8" s="6">
        <v>3.0</v>
      </c>
      <c r="V8" s="6">
        <v>3.0</v>
      </c>
      <c r="W8" s="7"/>
      <c r="X8" s="14">
        <f t="shared" si="1"/>
        <v>3.5</v>
      </c>
      <c r="Y8" s="9"/>
      <c r="Z8" s="14">
        <f t="shared" si="2"/>
        <v>3.6</v>
      </c>
      <c r="AA8" s="9"/>
      <c r="AB8" s="14">
        <f t="shared" si="3"/>
        <v>3</v>
      </c>
      <c r="AC8" s="9"/>
      <c r="AD8" s="14">
        <f t="shared" si="4"/>
        <v>2.666666667</v>
      </c>
      <c r="AE8" s="9"/>
      <c r="AF8" s="14">
        <f t="shared" si="5"/>
        <v>3.5</v>
      </c>
      <c r="AG8" s="9"/>
      <c r="AH8" s="14">
        <f t="shared" si="6"/>
        <v>3</v>
      </c>
      <c r="AI8" s="9"/>
      <c r="AJ8" s="14">
        <f t="shared" si="7"/>
        <v>2.666666667</v>
      </c>
      <c r="AK8" s="9"/>
      <c r="AL8" s="13" t="s">
        <v>24</v>
      </c>
      <c r="AM8" s="15">
        <f t="shared" si="8"/>
        <v>3.133333333</v>
      </c>
      <c r="AN8" s="16" t="s">
        <v>25</v>
      </c>
    </row>
    <row r="9">
      <c r="A9" s="13" t="s">
        <v>26</v>
      </c>
      <c r="B9" s="16">
        <v>86.76</v>
      </c>
      <c r="C9" s="6">
        <v>4.0</v>
      </c>
      <c r="D9" s="6">
        <v>3.0</v>
      </c>
      <c r="E9" s="6">
        <v>4.0</v>
      </c>
      <c r="F9" s="6">
        <v>4.0</v>
      </c>
      <c r="G9" s="6">
        <v>3.0</v>
      </c>
      <c r="H9" s="6">
        <v>4.0</v>
      </c>
      <c r="I9" s="6">
        <v>4.0</v>
      </c>
      <c r="J9" s="6">
        <v>3.0</v>
      </c>
      <c r="K9" s="6">
        <v>2.0</v>
      </c>
      <c r="L9" s="6">
        <v>3.0</v>
      </c>
      <c r="M9" s="6">
        <v>5.0</v>
      </c>
      <c r="N9" s="6">
        <v>1.0</v>
      </c>
      <c r="O9" s="6">
        <v>4.0</v>
      </c>
      <c r="P9" s="6">
        <v>3.0</v>
      </c>
      <c r="Q9" s="6">
        <v>4.0</v>
      </c>
      <c r="R9" s="6">
        <v>2.0</v>
      </c>
      <c r="S9" s="6">
        <v>5.0</v>
      </c>
      <c r="T9" s="6">
        <v>3.0</v>
      </c>
      <c r="U9" s="6">
        <v>3.0</v>
      </c>
      <c r="V9" s="6">
        <v>2.0</v>
      </c>
      <c r="W9" s="7"/>
      <c r="X9" s="14">
        <f t="shared" si="1"/>
        <v>3.5</v>
      </c>
      <c r="Y9" s="9"/>
      <c r="Z9" s="14">
        <f t="shared" si="2"/>
        <v>3.8</v>
      </c>
      <c r="AA9" s="9"/>
      <c r="AB9" s="14">
        <f t="shared" si="3"/>
        <v>2.5</v>
      </c>
      <c r="AC9" s="9"/>
      <c r="AD9" s="14">
        <f t="shared" si="4"/>
        <v>3</v>
      </c>
      <c r="AE9" s="9"/>
      <c r="AF9" s="14">
        <f t="shared" si="5"/>
        <v>3.5</v>
      </c>
      <c r="AG9" s="9"/>
      <c r="AH9" s="14">
        <f t="shared" si="6"/>
        <v>3.666666667</v>
      </c>
      <c r="AI9" s="9"/>
      <c r="AJ9" s="14">
        <f t="shared" si="7"/>
        <v>2.666666667</v>
      </c>
      <c r="AK9" s="9"/>
      <c r="AL9" s="13" t="s">
        <v>26</v>
      </c>
      <c r="AM9" s="15">
        <f t="shared" si="8"/>
        <v>3.233333333</v>
      </c>
      <c r="AN9" s="16">
        <v>86.76</v>
      </c>
    </row>
    <row r="10">
      <c r="A10" s="13" t="s">
        <v>27</v>
      </c>
      <c r="B10" s="16" t="s">
        <v>28</v>
      </c>
      <c r="C10" s="6">
        <v>3.0</v>
      </c>
      <c r="D10" s="6">
        <v>4.0</v>
      </c>
      <c r="E10" s="6">
        <v>2.0</v>
      </c>
      <c r="F10" s="6">
        <v>4.0</v>
      </c>
      <c r="G10" s="6">
        <v>2.0</v>
      </c>
      <c r="H10" s="6">
        <v>4.0</v>
      </c>
      <c r="I10" s="6">
        <v>4.0</v>
      </c>
      <c r="J10" s="6">
        <v>2.0</v>
      </c>
      <c r="K10" s="6">
        <v>3.0</v>
      </c>
      <c r="L10" s="6">
        <v>2.0</v>
      </c>
      <c r="M10" s="6">
        <v>3.0</v>
      </c>
      <c r="N10" s="6">
        <v>4.0</v>
      </c>
      <c r="O10" s="6">
        <v>3.0</v>
      </c>
      <c r="P10" s="6">
        <v>2.0</v>
      </c>
      <c r="Q10" s="6">
        <v>3.0</v>
      </c>
      <c r="R10" s="6">
        <v>2.0</v>
      </c>
      <c r="S10" s="6">
        <v>3.0</v>
      </c>
      <c r="T10" s="6">
        <v>3.0</v>
      </c>
      <c r="U10" s="6">
        <v>4.0</v>
      </c>
      <c r="V10" s="6">
        <v>3.0</v>
      </c>
      <c r="W10" s="7"/>
      <c r="X10" s="14">
        <f t="shared" si="1"/>
        <v>3.5</v>
      </c>
      <c r="Y10" s="9"/>
      <c r="Z10" s="14">
        <f t="shared" si="2"/>
        <v>3.2</v>
      </c>
      <c r="AA10" s="9"/>
      <c r="AB10" s="14">
        <f t="shared" si="3"/>
        <v>2.5</v>
      </c>
      <c r="AC10" s="9"/>
      <c r="AD10" s="14">
        <f t="shared" si="4"/>
        <v>3</v>
      </c>
      <c r="AE10" s="9"/>
      <c r="AF10" s="14">
        <f t="shared" si="5"/>
        <v>2.5</v>
      </c>
      <c r="AG10" s="9"/>
      <c r="AH10" s="14">
        <f t="shared" si="6"/>
        <v>2.666666667</v>
      </c>
      <c r="AI10" s="9"/>
      <c r="AJ10" s="14">
        <f t="shared" si="7"/>
        <v>3.333333333</v>
      </c>
      <c r="AK10" s="9"/>
      <c r="AL10" s="13" t="s">
        <v>27</v>
      </c>
      <c r="AM10" s="15">
        <f t="shared" si="8"/>
        <v>2.957142857</v>
      </c>
      <c r="AN10" s="16" t="s">
        <v>28</v>
      </c>
    </row>
    <row r="11">
      <c r="A11" s="13" t="s">
        <v>29</v>
      </c>
      <c r="B11" s="16" t="s">
        <v>30</v>
      </c>
      <c r="C11" s="6">
        <v>2.0</v>
      </c>
      <c r="D11" s="6">
        <v>3.0</v>
      </c>
      <c r="E11" s="6">
        <v>2.0</v>
      </c>
      <c r="F11" s="6">
        <v>4.0</v>
      </c>
      <c r="G11" s="6">
        <v>2.0</v>
      </c>
      <c r="H11" s="6">
        <v>2.0</v>
      </c>
      <c r="I11" s="6">
        <v>3.0</v>
      </c>
      <c r="J11" s="6">
        <v>4.0</v>
      </c>
      <c r="K11" s="6">
        <v>2.0</v>
      </c>
      <c r="L11" s="6">
        <v>4.0</v>
      </c>
      <c r="M11" s="6">
        <v>2.0</v>
      </c>
      <c r="N11" s="6">
        <v>4.0</v>
      </c>
      <c r="O11" s="6">
        <v>3.0</v>
      </c>
      <c r="P11" s="6">
        <v>3.0</v>
      </c>
      <c r="Q11" s="6">
        <v>2.0</v>
      </c>
      <c r="R11" s="6">
        <v>2.0</v>
      </c>
      <c r="S11" s="6">
        <v>3.0</v>
      </c>
      <c r="T11" s="6">
        <v>4.0</v>
      </c>
      <c r="U11" s="6">
        <v>2.0</v>
      </c>
      <c r="V11" s="6">
        <v>4.0</v>
      </c>
      <c r="W11" s="7"/>
      <c r="X11" s="14">
        <f t="shared" si="1"/>
        <v>2.5</v>
      </c>
      <c r="Y11" s="9"/>
      <c r="Z11" s="14">
        <f t="shared" si="2"/>
        <v>2.6</v>
      </c>
      <c r="AA11" s="9"/>
      <c r="AB11" s="14">
        <f t="shared" si="3"/>
        <v>3</v>
      </c>
      <c r="AC11" s="9"/>
      <c r="AD11" s="14">
        <f t="shared" si="4"/>
        <v>3.333333333</v>
      </c>
      <c r="AE11" s="9"/>
      <c r="AF11" s="14">
        <f t="shared" si="5"/>
        <v>3</v>
      </c>
      <c r="AG11" s="9"/>
      <c r="AH11" s="14">
        <f t="shared" si="6"/>
        <v>2.333333333</v>
      </c>
      <c r="AI11" s="9"/>
      <c r="AJ11" s="14">
        <f t="shared" si="7"/>
        <v>3.333333333</v>
      </c>
      <c r="AK11" s="9"/>
      <c r="AL11" s="13" t="s">
        <v>29</v>
      </c>
      <c r="AM11" s="15">
        <f t="shared" si="8"/>
        <v>2.871428571</v>
      </c>
      <c r="AN11" s="16" t="s">
        <v>30</v>
      </c>
    </row>
    <row r="12">
      <c r="A12" s="13" t="s">
        <v>31</v>
      </c>
      <c r="B12" s="6">
        <v>91.0</v>
      </c>
      <c r="C12" s="6">
        <v>4.0</v>
      </c>
      <c r="D12" s="6">
        <v>1.0</v>
      </c>
      <c r="E12" s="6">
        <v>4.0</v>
      </c>
      <c r="F12" s="6">
        <v>3.0</v>
      </c>
      <c r="G12" s="6">
        <v>3.0</v>
      </c>
      <c r="H12" s="6">
        <v>4.0</v>
      </c>
      <c r="I12" s="6">
        <v>4.0</v>
      </c>
      <c r="J12" s="6">
        <v>5.0</v>
      </c>
      <c r="K12" s="6">
        <v>4.0</v>
      </c>
      <c r="L12" s="6">
        <v>4.0</v>
      </c>
      <c r="M12" s="6">
        <v>4.0</v>
      </c>
      <c r="N12" s="6">
        <v>3.0</v>
      </c>
      <c r="O12" s="6">
        <v>3.0</v>
      </c>
      <c r="P12" s="6">
        <v>3.0</v>
      </c>
      <c r="Q12" s="6">
        <v>2.0</v>
      </c>
      <c r="R12" s="6">
        <v>3.0</v>
      </c>
      <c r="S12" s="6">
        <v>2.0</v>
      </c>
      <c r="T12" s="6">
        <v>4.0</v>
      </c>
      <c r="U12" s="6">
        <v>3.0</v>
      </c>
      <c r="V12" s="6">
        <v>4.0</v>
      </c>
      <c r="W12" s="7"/>
      <c r="X12" s="14">
        <f t="shared" si="1"/>
        <v>2.5</v>
      </c>
      <c r="Y12" s="9"/>
      <c r="Z12" s="14">
        <f t="shared" si="2"/>
        <v>3.6</v>
      </c>
      <c r="AA12" s="9"/>
      <c r="AB12" s="14">
        <f t="shared" si="3"/>
        <v>4.5</v>
      </c>
      <c r="AC12" s="9"/>
      <c r="AD12" s="14">
        <f t="shared" si="4"/>
        <v>3.666666667</v>
      </c>
      <c r="AE12" s="9"/>
      <c r="AF12" s="14">
        <f t="shared" si="5"/>
        <v>3</v>
      </c>
      <c r="AG12" s="9"/>
      <c r="AH12" s="14">
        <f t="shared" si="6"/>
        <v>2.333333333</v>
      </c>
      <c r="AI12" s="9"/>
      <c r="AJ12" s="14">
        <f t="shared" si="7"/>
        <v>3.666666667</v>
      </c>
      <c r="AK12" s="9"/>
      <c r="AL12" s="13" t="s">
        <v>31</v>
      </c>
      <c r="AM12" s="15">
        <f t="shared" si="8"/>
        <v>3.323809524</v>
      </c>
      <c r="AN12" s="6">
        <v>91.0</v>
      </c>
    </row>
    <row r="13">
      <c r="A13" s="13" t="s">
        <v>32</v>
      </c>
      <c r="B13" s="16" t="s">
        <v>23</v>
      </c>
      <c r="C13" s="6">
        <v>3.0</v>
      </c>
      <c r="D13" s="6">
        <v>5.0</v>
      </c>
      <c r="E13" s="6">
        <v>3.0</v>
      </c>
      <c r="F13" s="6">
        <v>5.0</v>
      </c>
      <c r="G13" s="6">
        <v>4.0</v>
      </c>
      <c r="H13" s="6">
        <v>2.0</v>
      </c>
      <c r="I13" s="6">
        <v>2.0</v>
      </c>
      <c r="J13" s="6">
        <v>5.0</v>
      </c>
      <c r="K13" s="6">
        <v>2.0</v>
      </c>
      <c r="L13" s="6">
        <v>3.0</v>
      </c>
      <c r="M13" s="6">
        <v>4.0</v>
      </c>
      <c r="N13" s="6">
        <v>4.0</v>
      </c>
      <c r="O13" s="6">
        <v>3.0</v>
      </c>
      <c r="P13" s="6">
        <v>3.0</v>
      </c>
      <c r="Q13" s="6">
        <v>4.0</v>
      </c>
      <c r="R13" s="6">
        <v>2.0</v>
      </c>
      <c r="S13" s="6">
        <v>3.0</v>
      </c>
      <c r="T13" s="6">
        <v>4.0</v>
      </c>
      <c r="U13" s="6">
        <v>2.0</v>
      </c>
      <c r="V13" s="6">
        <v>4.0</v>
      </c>
      <c r="W13" s="7"/>
      <c r="X13" s="14">
        <f t="shared" si="1"/>
        <v>4</v>
      </c>
      <c r="Y13" s="9"/>
      <c r="Z13" s="14">
        <f t="shared" si="2"/>
        <v>3.2</v>
      </c>
      <c r="AA13" s="9"/>
      <c r="AB13" s="14">
        <f t="shared" si="3"/>
        <v>3.5</v>
      </c>
      <c r="AC13" s="9"/>
      <c r="AD13" s="14">
        <f t="shared" si="4"/>
        <v>3.666666667</v>
      </c>
      <c r="AE13" s="9"/>
      <c r="AF13" s="14">
        <f t="shared" si="5"/>
        <v>3</v>
      </c>
      <c r="AG13" s="9"/>
      <c r="AH13" s="14">
        <f t="shared" si="6"/>
        <v>3</v>
      </c>
      <c r="AI13" s="9"/>
      <c r="AJ13" s="14">
        <f t="shared" si="7"/>
        <v>3.333333333</v>
      </c>
      <c r="AK13" s="9"/>
      <c r="AL13" s="13" t="s">
        <v>32</v>
      </c>
      <c r="AM13" s="15">
        <f t="shared" si="8"/>
        <v>3.385714286</v>
      </c>
      <c r="AN13" s="16" t="s">
        <v>23</v>
      </c>
    </row>
    <row r="14">
      <c r="A14" s="13" t="s">
        <v>33</v>
      </c>
      <c r="B14" s="6">
        <v>96.0</v>
      </c>
      <c r="C14" s="6">
        <v>4.0</v>
      </c>
      <c r="D14" s="6">
        <v>4.0</v>
      </c>
      <c r="E14" s="6">
        <v>4.0</v>
      </c>
      <c r="F14" s="6">
        <v>3.0</v>
      </c>
      <c r="G14" s="6">
        <v>3.0</v>
      </c>
      <c r="H14" s="6">
        <v>4.0</v>
      </c>
      <c r="I14" s="6">
        <v>5.0</v>
      </c>
      <c r="J14" s="6">
        <v>3.0</v>
      </c>
      <c r="K14" s="6">
        <v>2.0</v>
      </c>
      <c r="L14" s="6">
        <v>5.0</v>
      </c>
      <c r="M14" s="6">
        <v>5.0</v>
      </c>
      <c r="N14" s="6">
        <v>5.0</v>
      </c>
      <c r="O14" s="6">
        <v>5.0</v>
      </c>
      <c r="P14" s="6">
        <v>3.0</v>
      </c>
      <c r="Q14" s="6">
        <v>2.0</v>
      </c>
      <c r="R14" s="6">
        <v>5.0</v>
      </c>
      <c r="S14" s="6">
        <v>3.0</v>
      </c>
      <c r="T14" s="6">
        <v>5.0</v>
      </c>
      <c r="U14" s="6">
        <v>4.0</v>
      </c>
      <c r="V14" s="6">
        <v>4.0</v>
      </c>
      <c r="W14" s="7"/>
      <c r="X14" s="14">
        <f t="shared" si="1"/>
        <v>4</v>
      </c>
      <c r="Y14" s="9"/>
      <c r="Z14" s="14">
        <f t="shared" si="2"/>
        <v>3.8</v>
      </c>
      <c r="AA14" s="9"/>
      <c r="AB14" s="14">
        <f t="shared" si="3"/>
        <v>2.5</v>
      </c>
      <c r="AC14" s="9"/>
      <c r="AD14" s="14">
        <f t="shared" si="4"/>
        <v>5</v>
      </c>
      <c r="AE14" s="9"/>
      <c r="AF14" s="14">
        <f t="shared" si="5"/>
        <v>4</v>
      </c>
      <c r="AG14" s="9"/>
      <c r="AH14" s="14">
        <f t="shared" si="6"/>
        <v>3.333333333</v>
      </c>
      <c r="AI14" s="9"/>
      <c r="AJ14" s="14">
        <f t="shared" si="7"/>
        <v>4.333333333</v>
      </c>
      <c r="AK14" s="9"/>
      <c r="AL14" s="13" t="s">
        <v>33</v>
      </c>
      <c r="AM14" s="15">
        <f t="shared" si="8"/>
        <v>3.852380952</v>
      </c>
      <c r="AN14" s="6">
        <v>96.0</v>
      </c>
    </row>
    <row r="15">
      <c r="A15" s="13" t="s">
        <v>34</v>
      </c>
      <c r="B15" s="16" t="s">
        <v>35</v>
      </c>
      <c r="C15" s="6">
        <v>4.0</v>
      </c>
      <c r="D15" s="6">
        <v>4.0</v>
      </c>
      <c r="E15" s="6">
        <v>4.0</v>
      </c>
      <c r="F15" s="6">
        <v>3.0</v>
      </c>
      <c r="G15" s="6">
        <v>3.0</v>
      </c>
      <c r="H15" s="6">
        <v>4.0</v>
      </c>
      <c r="I15" s="6">
        <v>3.0</v>
      </c>
      <c r="J15" s="6">
        <v>3.0</v>
      </c>
      <c r="K15" s="6">
        <v>4.0</v>
      </c>
      <c r="L15" s="6">
        <v>3.0</v>
      </c>
      <c r="M15" s="6">
        <v>3.0</v>
      </c>
      <c r="N15" s="6">
        <v>1.0</v>
      </c>
      <c r="O15" s="6">
        <v>4.0</v>
      </c>
      <c r="P15" s="6">
        <v>3.0</v>
      </c>
      <c r="Q15" s="6">
        <v>2.0</v>
      </c>
      <c r="R15" s="6">
        <v>2.0</v>
      </c>
      <c r="S15" s="6">
        <v>3.0</v>
      </c>
      <c r="T15" s="6">
        <v>4.0</v>
      </c>
      <c r="U15" s="6">
        <v>3.0</v>
      </c>
      <c r="V15" s="6">
        <v>2.0</v>
      </c>
      <c r="W15" s="7"/>
      <c r="X15" s="14">
        <f t="shared" si="1"/>
        <v>4</v>
      </c>
      <c r="Y15" s="9"/>
      <c r="Z15" s="14">
        <f t="shared" si="2"/>
        <v>3.4</v>
      </c>
      <c r="AA15" s="9"/>
      <c r="AB15" s="14">
        <f t="shared" si="3"/>
        <v>3.5</v>
      </c>
      <c r="AC15" s="9"/>
      <c r="AD15" s="14">
        <f t="shared" si="4"/>
        <v>2.333333333</v>
      </c>
      <c r="AE15" s="9"/>
      <c r="AF15" s="14">
        <f t="shared" si="5"/>
        <v>3.5</v>
      </c>
      <c r="AG15" s="9"/>
      <c r="AH15" s="14">
        <f t="shared" si="6"/>
        <v>2.333333333</v>
      </c>
      <c r="AI15" s="9"/>
      <c r="AJ15" s="14">
        <f t="shared" si="7"/>
        <v>3</v>
      </c>
      <c r="AK15" s="9"/>
      <c r="AL15" s="13" t="s">
        <v>34</v>
      </c>
      <c r="AM15" s="15">
        <f t="shared" si="8"/>
        <v>3.152380952</v>
      </c>
      <c r="AN15" s="16" t="s">
        <v>35</v>
      </c>
    </row>
    <row r="16">
      <c r="A16" s="13" t="s">
        <v>36</v>
      </c>
      <c r="B16" s="16" t="s">
        <v>37</v>
      </c>
      <c r="C16" s="6">
        <v>4.0</v>
      </c>
      <c r="D16" s="6">
        <v>3.0</v>
      </c>
      <c r="E16" s="6">
        <v>3.0</v>
      </c>
      <c r="F16" s="6">
        <v>3.0</v>
      </c>
      <c r="G16" s="17">
        <v>3.0</v>
      </c>
      <c r="H16" s="18">
        <v>4.0</v>
      </c>
      <c r="I16" s="18">
        <v>3.0</v>
      </c>
      <c r="J16" s="6">
        <v>3.0</v>
      </c>
      <c r="K16" s="6">
        <v>2.0</v>
      </c>
      <c r="L16" s="6">
        <v>3.0</v>
      </c>
      <c r="M16" s="6">
        <v>4.0</v>
      </c>
      <c r="N16" s="6">
        <v>2.0</v>
      </c>
      <c r="O16" s="6">
        <v>4.0</v>
      </c>
      <c r="P16" s="6">
        <v>3.0</v>
      </c>
      <c r="Q16" s="6">
        <v>3.0</v>
      </c>
      <c r="R16" s="6">
        <v>3.0</v>
      </c>
      <c r="S16" s="6">
        <v>3.0</v>
      </c>
      <c r="T16" s="6">
        <v>3.0</v>
      </c>
      <c r="U16" s="6">
        <v>3.0</v>
      </c>
      <c r="V16" s="6">
        <v>3.0</v>
      </c>
      <c r="W16" s="7"/>
      <c r="X16" s="14">
        <f t="shared" si="1"/>
        <v>3.5</v>
      </c>
      <c r="Y16" s="9"/>
      <c r="Z16" s="14">
        <f t="shared" si="2"/>
        <v>3.2</v>
      </c>
      <c r="AA16" s="9"/>
      <c r="AB16" s="14">
        <f t="shared" si="3"/>
        <v>2.5</v>
      </c>
      <c r="AC16" s="9"/>
      <c r="AD16" s="14">
        <f t="shared" si="4"/>
        <v>3</v>
      </c>
      <c r="AE16" s="9"/>
      <c r="AF16" s="14">
        <f t="shared" si="5"/>
        <v>3.5</v>
      </c>
      <c r="AG16" s="9"/>
      <c r="AH16" s="14">
        <f t="shared" si="6"/>
        <v>3</v>
      </c>
      <c r="AI16" s="9"/>
      <c r="AJ16" s="14">
        <f t="shared" si="7"/>
        <v>3</v>
      </c>
      <c r="AK16" s="9"/>
      <c r="AL16" s="13" t="s">
        <v>36</v>
      </c>
      <c r="AM16" s="15">
        <f t="shared" si="8"/>
        <v>3.1</v>
      </c>
      <c r="AN16" s="16" t="s">
        <v>37</v>
      </c>
    </row>
    <row r="17">
      <c r="A17" s="13" t="s">
        <v>38</v>
      </c>
      <c r="B17" s="16">
        <v>89.5</v>
      </c>
      <c r="C17" s="6">
        <v>5.0</v>
      </c>
      <c r="D17" s="6">
        <v>4.0</v>
      </c>
      <c r="E17" s="6">
        <v>5.0</v>
      </c>
      <c r="F17" s="6">
        <v>3.0</v>
      </c>
      <c r="G17" s="6">
        <v>3.0</v>
      </c>
      <c r="H17" s="6">
        <v>4.0</v>
      </c>
      <c r="I17" s="6">
        <v>3.0</v>
      </c>
      <c r="J17" s="6">
        <v>3.0</v>
      </c>
      <c r="K17" s="6">
        <v>4.0</v>
      </c>
      <c r="L17" s="6">
        <v>3.0</v>
      </c>
      <c r="M17" s="6">
        <v>4.0</v>
      </c>
      <c r="N17" s="6">
        <v>3.0</v>
      </c>
      <c r="O17" s="6">
        <v>5.0</v>
      </c>
      <c r="P17" s="6">
        <v>3.0</v>
      </c>
      <c r="Q17" s="6">
        <v>3.0</v>
      </c>
      <c r="R17" s="6">
        <v>3.0</v>
      </c>
      <c r="S17" s="6">
        <v>3.0</v>
      </c>
      <c r="T17" s="6">
        <v>3.0</v>
      </c>
      <c r="U17" s="6">
        <v>5.0</v>
      </c>
      <c r="V17" s="6">
        <v>3.0</v>
      </c>
      <c r="W17" s="7"/>
      <c r="X17" s="14">
        <f t="shared" si="1"/>
        <v>4.5</v>
      </c>
      <c r="Y17" s="9"/>
      <c r="Z17" s="14">
        <f t="shared" si="2"/>
        <v>3.6</v>
      </c>
      <c r="AA17" s="9"/>
      <c r="AB17" s="14">
        <f t="shared" si="3"/>
        <v>3.5</v>
      </c>
      <c r="AC17" s="9"/>
      <c r="AD17" s="14">
        <f t="shared" si="4"/>
        <v>3.333333333</v>
      </c>
      <c r="AE17" s="9"/>
      <c r="AF17" s="14">
        <f t="shared" si="5"/>
        <v>4</v>
      </c>
      <c r="AG17" s="9"/>
      <c r="AH17" s="14">
        <f t="shared" si="6"/>
        <v>3</v>
      </c>
      <c r="AI17" s="9"/>
      <c r="AJ17" s="14">
        <f t="shared" si="7"/>
        <v>3.666666667</v>
      </c>
      <c r="AK17" s="9"/>
      <c r="AL17" s="13" t="s">
        <v>38</v>
      </c>
      <c r="AM17" s="15">
        <f t="shared" si="8"/>
        <v>3.657142857</v>
      </c>
      <c r="AN17" s="16">
        <v>89.5</v>
      </c>
    </row>
    <row r="18">
      <c r="A18" s="13" t="s">
        <v>39</v>
      </c>
      <c r="B18" s="16" t="s">
        <v>40</v>
      </c>
      <c r="C18" s="6">
        <v>3.0</v>
      </c>
      <c r="D18" s="6">
        <v>2.0</v>
      </c>
      <c r="E18" s="6">
        <v>3.0</v>
      </c>
      <c r="F18" s="6">
        <v>3.0</v>
      </c>
      <c r="G18" s="6">
        <v>2.0</v>
      </c>
      <c r="H18" s="6">
        <v>5.0</v>
      </c>
      <c r="I18" s="6">
        <v>3.0</v>
      </c>
      <c r="J18" s="6">
        <v>1.0</v>
      </c>
      <c r="K18" s="6">
        <v>5.0</v>
      </c>
      <c r="L18" s="6">
        <v>1.0</v>
      </c>
      <c r="M18" s="6">
        <v>4.0</v>
      </c>
      <c r="N18" s="6">
        <v>4.0</v>
      </c>
      <c r="O18" s="6">
        <v>3.0</v>
      </c>
      <c r="P18" s="6">
        <v>1.0</v>
      </c>
      <c r="Q18" s="6">
        <v>3.0</v>
      </c>
      <c r="R18" s="6">
        <v>3.0</v>
      </c>
      <c r="S18" s="6">
        <v>2.0</v>
      </c>
      <c r="T18" s="6">
        <v>3.0</v>
      </c>
      <c r="U18" s="6">
        <v>3.0</v>
      </c>
      <c r="V18" s="6">
        <v>4.0</v>
      </c>
      <c r="W18" s="7"/>
      <c r="X18" s="14">
        <f t="shared" si="1"/>
        <v>2.5</v>
      </c>
      <c r="Y18" s="9"/>
      <c r="Z18" s="14">
        <f t="shared" si="2"/>
        <v>3.2</v>
      </c>
      <c r="AA18" s="9"/>
      <c r="AB18" s="14">
        <f t="shared" si="3"/>
        <v>3</v>
      </c>
      <c r="AC18" s="9"/>
      <c r="AD18" s="14">
        <f t="shared" si="4"/>
        <v>3</v>
      </c>
      <c r="AE18" s="9"/>
      <c r="AF18" s="14">
        <f t="shared" si="5"/>
        <v>2</v>
      </c>
      <c r="AG18" s="9"/>
      <c r="AH18" s="14">
        <f t="shared" si="6"/>
        <v>2.666666667</v>
      </c>
      <c r="AI18" s="9"/>
      <c r="AJ18" s="14">
        <f t="shared" si="7"/>
        <v>3.333333333</v>
      </c>
      <c r="AK18" s="9"/>
      <c r="AL18" s="13" t="s">
        <v>39</v>
      </c>
      <c r="AM18" s="15">
        <f t="shared" si="8"/>
        <v>2.814285714</v>
      </c>
      <c r="AN18" s="16" t="s">
        <v>40</v>
      </c>
    </row>
    <row r="19">
      <c r="A19" s="13" t="s">
        <v>41</v>
      </c>
      <c r="B19" s="6">
        <v>82.89</v>
      </c>
      <c r="C19" s="6">
        <v>5.0</v>
      </c>
      <c r="D19" s="6">
        <v>3.0</v>
      </c>
      <c r="E19" s="6">
        <v>3.0</v>
      </c>
      <c r="F19" s="6">
        <v>2.0</v>
      </c>
      <c r="G19" s="6">
        <v>3.0</v>
      </c>
      <c r="H19" s="6">
        <v>4.0</v>
      </c>
      <c r="I19" s="6">
        <v>3.0</v>
      </c>
      <c r="J19" s="6">
        <v>2.0</v>
      </c>
      <c r="K19" s="6">
        <v>4.0</v>
      </c>
      <c r="L19" s="6">
        <v>4.0</v>
      </c>
      <c r="M19" s="6">
        <v>2.0</v>
      </c>
      <c r="N19" s="6">
        <v>4.0</v>
      </c>
      <c r="O19" s="6">
        <v>1.0</v>
      </c>
      <c r="P19" s="6">
        <v>3.0</v>
      </c>
      <c r="Q19" s="6">
        <v>3.0</v>
      </c>
      <c r="R19" s="6">
        <v>2.0</v>
      </c>
      <c r="S19" s="6">
        <v>2.0</v>
      </c>
      <c r="T19" s="6">
        <v>3.0</v>
      </c>
      <c r="U19" s="6">
        <v>3.0</v>
      </c>
      <c r="V19" s="6">
        <v>3.0</v>
      </c>
      <c r="W19" s="7"/>
      <c r="X19" s="14">
        <f t="shared" si="1"/>
        <v>4</v>
      </c>
      <c r="Y19" s="9"/>
      <c r="Z19" s="14">
        <f t="shared" si="2"/>
        <v>3</v>
      </c>
      <c r="AA19" s="9"/>
      <c r="AB19" s="14">
        <f t="shared" si="3"/>
        <v>3</v>
      </c>
      <c r="AC19" s="9"/>
      <c r="AD19" s="14">
        <f t="shared" si="4"/>
        <v>3.333333333</v>
      </c>
      <c r="AE19" s="9"/>
      <c r="AF19" s="14">
        <f t="shared" si="5"/>
        <v>2</v>
      </c>
      <c r="AG19" s="9"/>
      <c r="AH19" s="14">
        <f t="shared" si="6"/>
        <v>2.333333333</v>
      </c>
      <c r="AI19" s="9"/>
      <c r="AJ19" s="14">
        <f t="shared" si="7"/>
        <v>3</v>
      </c>
      <c r="AK19" s="9"/>
      <c r="AL19" s="13" t="s">
        <v>41</v>
      </c>
      <c r="AM19" s="15">
        <f t="shared" si="8"/>
        <v>2.952380952</v>
      </c>
      <c r="AN19" s="6">
        <v>82.89</v>
      </c>
    </row>
    <row r="20">
      <c r="A20" s="13" t="s">
        <v>42</v>
      </c>
      <c r="B20" s="16" t="s">
        <v>43</v>
      </c>
      <c r="C20" s="6">
        <v>4.0</v>
      </c>
      <c r="D20" s="6">
        <v>4.0</v>
      </c>
      <c r="E20" s="6">
        <v>5.0</v>
      </c>
      <c r="F20" s="6">
        <v>4.0</v>
      </c>
      <c r="G20" s="6">
        <v>4.0</v>
      </c>
      <c r="H20" s="6">
        <v>4.0</v>
      </c>
      <c r="I20" s="6">
        <v>4.0</v>
      </c>
      <c r="J20" s="6">
        <v>4.0</v>
      </c>
      <c r="K20" s="6">
        <v>5.0</v>
      </c>
      <c r="L20" s="6">
        <v>4.0</v>
      </c>
      <c r="M20" s="6">
        <v>4.0</v>
      </c>
      <c r="N20" s="6">
        <v>4.0</v>
      </c>
      <c r="O20" s="6">
        <v>3.0</v>
      </c>
      <c r="P20" s="6">
        <v>3.0</v>
      </c>
      <c r="Q20" s="6">
        <v>4.0</v>
      </c>
      <c r="R20" s="6">
        <v>2.0</v>
      </c>
      <c r="S20" s="6">
        <v>4.0</v>
      </c>
      <c r="T20" s="6">
        <v>4.0</v>
      </c>
      <c r="U20" s="6">
        <v>3.0</v>
      </c>
      <c r="V20" s="6">
        <v>4.0</v>
      </c>
      <c r="W20" s="7"/>
      <c r="X20" s="14">
        <f t="shared" si="1"/>
        <v>4</v>
      </c>
      <c r="Y20" s="9"/>
      <c r="Z20" s="14">
        <f t="shared" si="2"/>
        <v>4.2</v>
      </c>
      <c r="AA20" s="9"/>
      <c r="AB20" s="14">
        <f t="shared" si="3"/>
        <v>4.5</v>
      </c>
      <c r="AC20" s="9"/>
      <c r="AD20" s="14">
        <f t="shared" si="4"/>
        <v>4</v>
      </c>
      <c r="AE20" s="9"/>
      <c r="AF20" s="14">
        <f t="shared" si="5"/>
        <v>3</v>
      </c>
      <c r="AG20" s="9"/>
      <c r="AH20" s="14">
        <f t="shared" si="6"/>
        <v>3.333333333</v>
      </c>
      <c r="AI20" s="9"/>
      <c r="AJ20" s="14">
        <f t="shared" si="7"/>
        <v>3.666666667</v>
      </c>
      <c r="AK20" s="9"/>
      <c r="AL20" s="13" t="s">
        <v>42</v>
      </c>
      <c r="AM20" s="15">
        <f t="shared" si="8"/>
        <v>3.814285714</v>
      </c>
      <c r="AN20" s="16" t="s">
        <v>43</v>
      </c>
    </row>
    <row r="21">
      <c r="A21" s="13" t="s">
        <v>44</v>
      </c>
      <c r="B21" s="16" t="s">
        <v>45</v>
      </c>
      <c r="C21" s="6">
        <v>3.0</v>
      </c>
      <c r="D21" s="6">
        <v>4.0</v>
      </c>
      <c r="E21" s="6">
        <v>2.0</v>
      </c>
      <c r="F21" s="6">
        <v>3.0</v>
      </c>
      <c r="G21" s="6">
        <v>2.0</v>
      </c>
      <c r="H21" s="6">
        <v>3.0</v>
      </c>
      <c r="I21" s="6">
        <v>4.0</v>
      </c>
      <c r="J21" s="6">
        <v>5.0</v>
      </c>
      <c r="K21" s="6">
        <v>2.0</v>
      </c>
      <c r="L21" s="6">
        <v>4.0</v>
      </c>
      <c r="M21" s="6">
        <v>3.0</v>
      </c>
      <c r="N21" s="6">
        <v>4.0</v>
      </c>
      <c r="O21" s="6">
        <v>5.0</v>
      </c>
      <c r="P21" s="6">
        <v>2.0</v>
      </c>
      <c r="Q21" s="6">
        <v>3.0</v>
      </c>
      <c r="R21" s="6">
        <v>3.0</v>
      </c>
      <c r="S21" s="6">
        <v>5.0</v>
      </c>
      <c r="T21" s="6">
        <v>3.0</v>
      </c>
      <c r="U21" s="6">
        <v>4.0</v>
      </c>
      <c r="V21" s="6">
        <v>3.0</v>
      </c>
      <c r="W21" s="7"/>
      <c r="X21" s="14">
        <f t="shared" si="1"/>
        <v>3.5</v>
      </c>
      <c r="Y21" s="9"/>
      <c r="Z21" s="14">
        <f t="shared" si="2"/>
        <v>2.8</v>
      </c>
      <c r="AA21" s="9"/>
      <c r="AB21" s="14">
        <f t="shared" si="3"/>
        <v>3.5</v>
      </c>
      <c r="AC21" s="9"/>
      <c r="AD21" s="14">
        <f t="shared" si="4"/>
        <v>3.666666667</v>
      </c>
      <c r="AE21" s="9"/>
      <c r="AF21" s="14">
        <f t="shared" si="5"/>
        <v>3.5</v>
      </c>
      <c r="AG21" s="9"/>
      <c r="AH21" s="14">
        <f t="shared" si="6"/>
        <v>3.666666667</v>
      </c>
      <c r="AI21" s="9"/>
      <c r="AJ21" s="14">
        <f t="shared" si="7"/>
        <v>3.333333333</v>
      </c>
      <c r="AK21" s="9"/>
      <c r="AL21" s="13" t="s">
        <v>44</v>
      </c>
      <c r="AM21" s="15">
        <f t="shared" si="8"/>
        <v>3.423809524</v>
      </c>
      <c r="AN21" s="16" t="s">
        <v>45</v>
      </c>
    </row>
    <row r="22">
      <c r="A22" s="13" t="s">
        <v>46</v>
      </c>
      <c r="B22" s="16">
        <v>76.57</v>
      </c>
      <c r="C22" s="6">
        <v>2.0</v>
      </c>
      <c r="D22" s="6">
        <v>3.0</v>
      </c>
      <c r="E22" s="6">
        <v>1.0</v>
      </c>
      <c r="F22" s="6">
        <v>4.0</v>
      </c>
      <c r="G22" s="6">
        <v>3.0</v>
      </c>
      <c r="H22" s="6">
        <v>2.0</v>
      </c>
      <c r="I22" s="6">
        <v>2.0</v>
      </c>
      <c r="J22" s="6">
        <v>5.0</v>
      </c>
      <c r="K22" s="6">
        <v>3.0</v>
      </c>
      <c r="L22" s="6">
        <v>5.0</v>
      </c>
      <c r="M22" s="6">
        <v>3.0</v>
      </c>
      <c r="N22" s="6">
        <v>5.0</v>
      </c>
      <c r="O22" s="6">
        <v>2.0</v>
      </c>
      <c r="P22" s="6">
        <v>1.0</v>
      </c>
      <c r="Q22" s="6">
        <v>5.0</v>
      </c>
      <c r="R22" s="6">
        <v>4.0</v>
      </c>
      <c r="S22" s="6">
        <v>5.0</v>
      </c>
      <c r="T22" s="6">
        <v>3.0</v>
      </c>
      <c r="U22" s="6">
        <v>3.0</v>
      </c>
      <c r="V22" s="6">
        <v>3.0</v>
      </c>
      <c r="W22" s="7"/>
      <c r="X22" s="14">
        <f t="shared" si="1"/>
        <v>2.5</v>
      </c>
      <c r="Y22" s="9"/>
      <c r="Z22" s="14">
        <f t="shared" si="2"/>
        <v>2.4</v>
      </c>
      <c r="AA22" s="9"/>
      <c r="AB22" s="14">
        <f t="shared" si="3"/>
        <v>4</v>
      </c>
      <c r="AC22" s="9"/>
      <c r="AD22" s="14">
        <f t="shared" si="4"/>
        <v>4.333333333</v>
      </c>
      <c r="AE22" s="9"/>
      <c r="AF22" s="14">
        <f t="shared" si="5"/>
        <v>1.5</v>
      </c>
      <c r="AG22" s="9"/>
      <c r="AH22" s="14">
        <f t="shared" si="6"/>
        <v>4.666666667</v>
      </c>
      <c r="AI22" s="9"/>
      <c r="AJ22" s="14">
        <f t="shared" si="7"/>
        <v>3</v>
      </c>
      <c r="AK22" s="9"/>
      <c r="AL22" s="13" t="s">
        <v>46</v>
      </c>
      <c r="AM22" s="15">
        <f t="shared" si="8"/>
        <v>3.2</v>
      </c>
      <c r="AN22" s="16">
        <v>76.57</v>
      </c>
    </row>
    <row r="23">
      <c r="A23" s="13" t="s">
        <v>47</v>
      </c>
      <c r="B23" s="16">
        <v>89.0</v>
      </c>
      <c r="C23" s="6">
        <v>3.0</v>
      </c>
      <c r="D23" s="6">
        <v>3.0</v>
      </c>
      <c r="E23" s="6">
        <v>2.0</v>
      </c>
      <c r="F23" s="6">
        <v>3.0</v>
      </c>
      <c r="G23" s="6">
        <v>3.0</v>
      </c>
      <c r="H23" s="6">
        <v>2.0</v>
      </c>
      <c r="I23" s="6">
        <v>4.0</v>
      </c>
      <c r="J23" s="6">
        <v>2.0</v>
      </c>
      <c r="K23" s="6">
        <v>2.0</v>
      </c>
      <c r="L23" s="6">
        <v>2.0</v>
      </c>
      <c r="M23" s="6">
        <v>3.0</v>
      </c>
      <c r="N23" s="6">
        <v>3.0</v>
      </c>
      <c r="O23" s="6">
        <v>3.0</v>
      </c>
      <c r="P23" s="6">
        <v>3.0</v>
      </c>
      <c r="Q23" s="6">
        <v>2.0</v>
      </c>
      <c r="R23" s="6">
        <v>3.0</v>
      </c>
      <c r="S23" s="6">
        <v>3.0</v>
      </c>
      <c r="T23" s="6">
        <v>3.0</v>
      </c>
      <c r="U23" s="6">
        <v>4.0</v>
      </c>
      <c r="V23" s="6">
        <v>3.0</v>
      </c>
      <c r="W23" s="7"/>
      <c r="X23" s="14">
        <f t="shared" si="1"/>
        <v>3</v>
      </c>
      <c r="Y23" s="9"/>
      <c r="Z23" s="14">
        <f t="shared" si="2"/>
        <v>2.8</v>
      </c>
      <c r="AA23" s="9"/>
      <c r="AB23" s="14">
        <f t="shared" si="3"/>
        <v>2</v>
      </c>
      <c r="AC23" s="9"/>
      <c r="AD23" s="14">
        <f t="shared" si="4"/>
        <v>2.666666667</v>
      </c>
      <c r="AE23" s="9"/>
      <c r="AF23" s="14">
        <f t="shared" si="5"/>
        <v>3</v>
      </c>
      <c r="AG23" s="9"/>
      <c r="AH23" s="14">
        <f t="shared" si="6"/>
        <v>2.666666667</v>
      </c>
      <c r="AI23" s="9"/>
      <c r="AJ23" s="14">
        <f t="shared" si="7"/>
        <v>3.333333333</v>
      </c>
      <c r="AK23" s="9"/>
      <c r="AL23" s="13" t="s">
        <v>47</v>
      </c>
      <c r="AM23" s="15">
        <f t="shared" si="8"/>
        <v>2.780952381</v>
      </c>
      <c r="AN23" s="16">
        <v>89.0</v>
      </c>
    </row>
    <row r="24">
      <c r="A24" s="13" t="s">
        <v>48</v>
      </c>
      <c r="B24" s="16" t="s">
        <v>49</v>
      </c>
      <c r="C24" s="6">
        <v>4.0</v>
      </c>
      <c r="D24" s="6">
        <v>4.0</v>
      </c>
      <c r="E24" s="6">
        <v>3.0</v>
      </c>
      <c r="F24" s="6">
        <v>3.0</v>
      </c>
      <c r="G24" s="6">
        <v>3.0</v>
      </c>
      <c r="H24" s="6">
        <v>5.0</v>
      </c>
      <c r="I24" s="6">
        <v>4.0</v>
      </c>
      <c r="J24" s="6">
        <v>2.0</v>
      </c>
      <c r="K24" s="6">
        <v>1.0</v>
      </c>
      <c r="L24" s="6">
        <v>4.0</v>
      </c>
      <c r="M24" s="6">
        <v>4.0</v>
      </c>
      <c r="N24" s="6">
        <v>4.0</v>
      </c>
      <c r="O24" s="6">
        <v>4.0</v>
      </c>
      <c r="P24" s="6">
        <v>2.0</v>
      </c>
      <c r="Q24" s="6">
        <v>3.0</v>
      </c>
      <c r="R24" s="6">
        <v>2.0</v>
      </c>
      <c r="S24" s="6">
        <v>5.0</v>
      </c>
      <c r="T24" s="6">
        <v>5.0</v>
      </c>
      <c r="U24" s="6">
        <v>4.0</v>
      </c>
      <c r="V24" s="6">
        <v>2.0</v>
      </c>
      <c r="W24" s="7"/>
      <c r="X24" s="14">
        <f t="shared" si="1"/>
        <v>4</v>
      </c>
      <c r="Y24" s="9"/>
      <c r="Z24" s="14">
        <f t="shared" si="2"/>
        <v>3.6</v>
      </c>
      <c r="AA24" s="9"/>
      <c r="AB24" s="14">
        <f t="shared" si="3"/>
        <v>1.5</v>
      </c>
      <c r="AC24" s="9"/>
      <c r="AD24" s="14">
        <f t="shared" si="4"/>
        <v>4</v>
      </c>
      <c r="AE24" s="9"/>
      <c r="AF24" s="14">
        <f t="shared" si="5"/>
        <v>3</v>
      </c>
      <c r="AG24" s="9"/>
      <c r="AH24" s="14">
        <f t="shared" si="6"/>
        <v>3.333333333</v>
      </c>
      <c r="AI24" s="9"/>
      <c r="AJ24" s="14">
        <f t="shared" si="7"/>
        <v>3.666666667</v>
      </c>
      <c r="AK24" s="9"/>
      <c r="AL24" s="13" t="s">
        <v>48</v>
      </c>
      <c r="AM24" s="15">
        <f t="shared" si="8"/>
        <v>3.3</v>
      </c>
      <c r="AN24" s="16" t="s">
        <v>49</v>
      </c>
    </row>
    <row r="25">
      <c r="A25" s="13" t="s">
        <v>50</v>
      </c>
      <c r="B25" s="16" t="s">
        <v>51</v>
      </c>
      <c r="C25" s="6">
        <v>2.0</v>
      </c>
      <c r="D25" s="6">
        <v>1.0</v>
      </c>
      <c r="E25" s="6">
        <v>4.0</v>
      </c>
      <c r="F25" s="6">
        <v>4.0</v>
      </c>
      <c r="G25" s="6">
        <v>3.0</v>
      </c>
      <c r="H25" s="6">
        <v>2.0</v>
      </c>
      <c r="I25" s="6">
        <v>4.0</v>
      </c>
      <c r="J25" s="6">
        <v>4.0</v>
      </c>
      <c r="K25" s="6">
        <v>4.0</v>
      </c>
      <c r="L25" s="6">
        <v>3.0</v>
      </c>
      <c r="M25" s="6">
        <v>4.0</v>
      </c>
      <c r="N25" s="6">
        <v>2.0</v>
      </c>
      <c r="O25" s="6">
        <v>3.0</v>
      </c>
      <c r="P25" s="6">
        <v>2.0</v>
      </c>
      <c r="Q25" s="6">
        <v>3.0</v>
      </c>
      <c r="R25" s="6">
        <v>1.0</v>
      </c>
      <c r="S25" s="6">
        <v>3.0</v>
      </c>
      <c r="T25" s="6">
        <v>2.0</v>
      </c>
      <c r="U25" s="6">
        <v>4.0</v>
      </c>
      <c r="V25" s="6">
        <v>2.0</v>
      </c>
      <c r="W25" s="7"/>
      <c r="X25" s="14">
        <f t="shared" si="1"/>
        <v>1.5</v>
      </c>
      <c r="Y25" s="9"/>
      <c r="Z25" s="14">
        <f t="shared" si="2"/>
        <v>3.4</v>
      </c>
      <c r="AA25" s="9"/>
      <c r="AB25" s="14">
        <f t="shared" si="3"/>
        <v>4</v>
      </c>
      <c r="AC25" s="9"/>
      <c r="AD25" s="14">
        <f t="shared" si="4"/>
        <v>3</v>
      </c>
      <c r="AE25" s="9"/>
      <c r="AF25" s="14">
        <f t="shared" si="5"/>
        <v>2.5</v>
      </c>
      <c r="AG25" s="9"/>
      <c r="AH25" s="14">
        <f t="shared" si="6"/>
        <v>2.333333333</v>
      </c>
      <c r="AI25" s="9"/>
      <c r="AJ25" s="14">
        <f t="shared" si="7"/>
        <v>2.666666667</v>
      </c>
      <c r="AK25" s="9"/>
      <c r="AL25" s="13" t="s">
        <v>50</v>
      </c>
      <c r="AM25" s="15">
        <f t="shared" si="8"/>
        <v>2.771428571</v>
      </c>
      <c r="AN25" s="16" t="s">
        <v>51</v>
      </c>
    </row>
    <row r="26">
      <c r="A26" s="13" t="s">
        <v>52</v>
      </c>
      <c r="B26" s="6">
        <v>93.0</v>
      </c>
      <c r="C26" s="6">
        <v>3.0</v>
      </c>
      <c r="D26" s="6">
        <v>4.0</v>
      </c>
      <c r="E26" s="6">
        <v>5.0</v>
      </c>
      <c r="F26" s="6">
        <v>3.0</v>
      </c>
      <c r="G26" s="6">
        <v>3.0</v>
      </c>
      <c r="H26" s="6">
        <v>4.0</v>
      </c>
      <c r="I26" s="6">
        <v>4.0</v>
      </c>
      <c r="J26" s="6">
        <v>5.0</v>
      </c>
      <c r="K26" s="6">
        <v>1.0</v>
      </c>
      <c r="L26" s="6">
        <v>4.0</v>
      </c>
      <c r="M26" s="6">
        <v>4.0</v>
      </c>
      <c r="N26" s="6">
        <v>2.0</v>
      </c>
      <c r="O26" s="6">
        <v>4.0</v>
      </c>
      <c r="P26" s="6">
        <v>3.0</v>
      </c>
      <c r="Q26" s="6">
        <v>4.0</v>
      </c>
      <c r="R26" s="6">
        <v>4.0</v>
      </c>
      <c r="S26" s="6">
        <v>4.0</v>
      </c>
      <c r="T26" s="6">
        <v>3.0</v>
      </c>
      <c r="U26" s="6">
        <v>4.0</v>
      </c>
      <c r="V26" s="6">
        <v>3.0</v>
      </c>
      <c r="W26" s="7"/>
      <c r="X26" s="14">
        <f t="shared" si="1"/>
        <v>3.5</v>
      </c>
      <c r="Y26" s="9"/>
      <c r="Z26" s="14">
        <f t="shared" si="2"/>
        <v>3.8</v>
      </c>
      <c r="AA26" s="9"/>
      <c r="AB26" s="14">
        <f t="shared" si="3"/>
        <v>3</v>
      </c>
      <c r="AC26" s="9"/>
      <c r="AD26" s="14">
        <f t="shared" si="4"/>
        <v>3.333333333</v>
      </c>
      <c r="AE26" s="9"/>
      <c r="AF26" s="14">
        <f t="shared" si="5"/>
        <v>3.5</v>
      </c>
      <c r="AG26" s="9"/>
      <c r="AH26" s="14">
        <f t="shared" si="6"/>
        <v>4</v>
      </c>
      <c r="AI26" s="9"/>
      <c r="AJ26" s="14">
        <f t="shared" si="7"/>
        <v>3.333333333</v>
      </c>
      <c r="AK26" s="9"/>
      <c r="AL26" s="13" t="s">
        <v>52</v>
      </c>
      <c r="AM26" s="15">
        <f t="shared" si="8"/>
        <v>3.495238095</v>
      </c>
      <c r="AN26" s="6">
        <v>93.0</v>
      </c>
    </row>
    <row r="27">
      <c r="A27" s="19" t="s">
        <v>53</v>
      </c>
      <c r="B27" s="6">
        <v>86.78</v>
      </c>
      <c r="C27" s="6">
        <v>4.0</v>
      </c>
      <c r="D27" s="6">
        <v>2.0</v>
      </c>
      <c r="E27" s="6">
        <v>2.0</v>
      </c>
      <c r="F27" s="6">
        <v>3.0</v>
      </c>
      <c r="G27" s="6">
        <v>2.0</v>
      </c>
      <c r="H27" s="6">
        <v>4.0</v>
      </c>
      <c r="I27" s="6">
        <v>4.0</v>
      </c>
      <c r="J27" s="6">
        <v>3.0</v>
      </c>
      <c r="K27" s="6">
        <v>2.0</v>
      </c>
      <c r="L27" s="6">
        <v>4.0</v>
      </c>
      <c r="M27" s="6">
        <v>3.0</v>
      </c>
      <c r="N27" s="6">
        <v>4.0</v>
      </c>
      <c r="O27" s="6">
        <v>3.0</v>
      </c>
      <c r="P27" s="6">
        <v>2.0</v>
      </c>
      <c r="Q27" s="6">
        <v>3.0</v>
      </c>
      <c r="R27" s="6">
        <v>3.0</v>
      </c>
      <c r="S27" s="6">
        <v>2.0</v>
      </c>
      <c r="T27" s="6">
        <v>3.0</v>
      </c>
      <c r="U27" s="6">
        <v>2.0</v>
      </c>
      <c r="V27" s="6">
        <v>4.0</v>
      </c>
      <c r="W27" s="7"/>
      <c r="X27" s="14">
        <f t="shared" si="1"/>
        <v>3</v>
      </c>
      <c r="Y27" s="9"/>
      <c r="Z27" s="14">
        <f t="shared" si="2"/>
        <v>3</v>
      </c>
      <c r="AA27" s="9"/>
      <c r="AB27" s="14">
        <f t="shared" si="3"/>
        <v>2.5</v>
      </c>
      <c r="AC27" s="9"/>
      <c r="AD27" s="14">
        <f t="shared" si="4"/>
        <v>3.666666667</v>
      </c>
      <c r="AE27" s="9"/>
      <c r="AF27" s="14">
        <f t="shared" si="5"/>
        <v>2.5</v>
      </c>
      <c r="AG27" s="9"/>
      <c r="AH27" s="14">
        <f t="shared" si="6"/>
        <v>2.666666667</v>
      </c>
      <c r="AI27" s="9"/>
      <c r="AJ27" s="14">
        <f t="shared" si="7"/>
        <v>3</v>
      </c>
      <c r="AK27" s="9"/>
      <c r="AL27" s="19" t="s">
        <v>53</v>
      </c>
      <c r="AM27" s="15">
        <f t="shared" si="8"/>
        <v>2.904761905</v>
      </c>
      <c r="AN27" s="6">
        <v>86.78</v>
      </c>
    </row>
    <row r="28">
      <c r="A28" s="19" t="s">
        <v>54</v>
      </c>
      <c r="B28" s="6">
        <v>89.18</v>
      </c>
      <c r="C28" s="6">
        <v>2.0</v>
      </c>
      <c r="D28" s="6">
        <v>4.0</v>
      </c>
      <c r="E28" s="6">
        <v>3.0</v>
      </c>
      <c r="F28" s="6">
        <v>4.0</v>
      </c>
      <c r="G28" s="6">
        <v>3.0</v>
      </c>
      <c r="H28" s="6">
        <v>2.0</v>
      </c>
      <c r="I28" s="6">
        <v>4.0</v>
      </c>
      <c r="J28" s="6">
        <v>2.0</v>
      </c>
      <c r="K28" s="6">
        <v>4.0</v>
      </c>
      <c r="L28" s="6">
        <v>5.0</v>
      </c>
      <c r="M28" s="6">
        <v>3.0</v>
      </c>
      <c r="N28" s="6">
        <v>3.0</v>
      </c>
      <c r="O28" s="6">
        <v>4.0</v>
      </c>
      <c r="P28" s="6">
        <v>3.0</v>
      </c>
      <c r="Q28" s="6">
        <v>4.0</v>
      </c>
      <c r="R28" s="6">
        <v>3.0</v>
      </c>
      <c r="S28" s="6">
        <v>3.0</v>
      </c>
      <c r="T28" s="6">
        <v>4.0</v>
      </c>
      <c r="U28" s="6">
        <v>4.0</v>
      </c>
      <c r="V28" s="6">
        <v>2.0</v>
      </c>
      <c r="W28" s="7"/>
      <c r="X28" s="14">
        <f t="shared" si="1"/>
        <v>3</v>
      </c>
      <c r="Y28" s="9"/>
      <c r="Z28" s="14">
        <f t="shared" si="2"/>
        <v>3.2</v>
      </c>
      <c r="AA28" s="9"/>
      <c r="AB28" s="14">
        <f t="shared" si="3"/>
        <v>3</v>
      </c>
      <c r="AC28" s="9"/>
      <c r="AD28" s="14">
        <f t="shared" si="4"/>
        <v>3.666666667</v>
      </c>
      <c r="AE28" s="9"/>
      <c r="AF28" s="14">
        <f t="shared" si="5"/>
        <v>3.5</v>
      </c>
      <c r="AG28" s="9"/>
      <c r="AH28" s="14">
        <f t="shared" si="6"/>
        <v>3.333333333</v>
      </c>
      <c r="AI28" s="9"/>
      <c r="AJ28" s="14">
        <f t="shared" si="7"/>
        <v>3.333333333</v>
      </c>
      <c r="AK28" s="9"/>
      <c r="AL28" s="19" t="s">
        <v>54</v>
      </c>
      <c r="AM28" s="15">
        <f t="shared" si="8"/>
        <v>3.29047619</v>
      </c>
      <c r="AN28" s="6">
        <v>89.18</v>
      </c>
    </row>
    <row r="29">
      <c r="A29" s="19" t="s">
        <v>55</v>
      </c>
      <c r="B29" s="16" t="s">
        <v>56</v>
      </c>
      <c r="C29" s="6">
        <v>3.0</v>
      </c>
      <c r="D29" s="6">
        <v>3.0</v>
      </c>
      <c r="E29" s="6">
        <v>3.0</v>
      </c>
      <c r="F29" s="6">
        <v>3.0</v>
      </c>
      <c r="G29" s="6">
        <v>3.0</v>
      </c>
      <c r="H29" s="6">
        <v>3.0</v>
      </c>
      <c r="I29" s="6">
        <v>3.0</v>
      </c>
      <c r="J29" s="6">
        <v>3.0</v>
      </c>
      <c r="K29" s="6">
        <v>3.0</v>
      </c>
      <c r="L29" s="6">
        <v>3.0</v>
      </c>
      <c r="M29" s="6">
        <v>3.0</v>
      </c>
      <c r="N29" s="6">
        <v>3.0</v>
      </c>
      <c r="O29" s="6">
        <v>3.0</v>
      </c>
      <c r="P29" s="6">
        <v>3.0</v>
      </c>
      <c r="Q29" s="6">
        <v>3.0</v>
      </c>
      <c r="R29" s="6">
        <v>3.0</v>
      </c>
      <c r="S29" s="6">
        <v>3.0</v>
      </c>
      <c r="T29" s="6">
        <v>3.0</v>
      </c>
      <c r="U29" s="6">
        <v>3.0</v>
      </c>
      <c r="V29" s="6">
        <v>3.0</v>
      </c>
      <c r="W29" s="7"/>
      <c r="X29" s="14">
        <f t="shared" si="1"/>
        <v>3</v>
      </c>
      <c r="Y29" s="9"/>
      <c r="Z29" s="14">
        <f t="shared" si="2"/>
        <v>3</v>
      </c>
      <c r="AA29" s="9"/>
      <c r="AB29" s="14">
        <f t="shared" si="3"/>
        <v>3</v>
      </c>
      <c r="AC29" s="9"/>
      <c r="AD29" s="14">
        <f t="shared" si="4"/>
        <v>3</v>
      </c>
      <c r="AE29" s="9"/>
      <c r="AF29" s="14">
        <f t="shared" si="5"/>
        <v>3</v>
      </c>
      <c r="AG29" s="9"/>
      <c r="AH29" s="14">
        <f t="shared" si="6"/>
        <v>3</v>
      </c>
      <c r="AI29" s="9"/>
      <c r="AJ29" s="14">
        <f t="shared" si="7"/>
        <v>3</v>
      </c>
      <c r="AK29" s="9"/>
      <c r="AL29" s="19" t="s">
        <v>55</v>
      </c>
      <c r="AM29" s="15">
        <f t="shared" si="8"/>
        <v>3</v>
      </c>
      <c r="AN29" s="16" t="s">
        <v>56</v>
      </c>
    </row>
    <row r="30">
      <c r="A30" s="19" t="s">
        <v>57</v>
      </c>
      <c r="B30" s="6">
        <v>89.92</v>
      </c>
      <c r="C30" s="6">
        <v>3.0</v>
      </c>
      <c r="D30" s="6">
        <v>5.0</v>
      </c>
      <c r="E30" s="6">
        <v>4.0</v>
      </c>
      <c r="F30" s="6">
        <v>3.0</v>
      </c>
      <c r="G30" s="6">
        <v>3.0</v>
      </c>
      <c r="H30" s="6">
        <v>4.0</v>
      </c>
      <c r="I30" s="6">
        <v>3.0</v>
      </c>
      <c r="J30" s="6">
        <v>5.0</v>
      </c>
      <c r="K30" s="6">
        <v>5.0</v>
      </c>
      <c r="L30" s="6">
        <v>4.0</v>
      </c>
      <c r="M30" s="6">
        <v>4.0</v>
      </c>
      <c r="N30" s="6">
        <v>3.0</v>
      </c>
      <c r="O30" s="6">
        <v>4.0</v>
      </c>
      <c r="P30" s="6">
        <v>5.0</v>
      </c>
      <c r="Q30" s="6">
        <v>5.0</v>
      </c>
      <c r="R30" s="6">
        <v>4.0</v>
      </c>
      <c r="S30" s="6">
        <v>5.0</v>
      </c>
      <c r="T30" s="6">
        <v>4.0</v>
      </c>
      <c r="U30" s="6">
        <v>5.0</v>
      </c>
      <c r="V30" s="6">
        <v>3.0</v>
      </c>
      <c r="W30" s="7"/>
      <c r="X30" s="14">
        <f t="shared" si="1"/>
        <v>4</v>
      </c>
      <c r="Y30" s="9"/>
      <c r="Z30" s="14">
        <f t="shared" si="2"/>
        <v>3.4</v>
      </c>
      <c r="AA30" s="9"/>
      <c r="AB30" s="14">
        <f t="shared" si="3"/>
        <v>5</v>
      </c>
      <c r="AC30" s="9"/>
      <c r="AD30" s="14">
        <f t="shared" si="4"/>
        <v>3.666666667</v>
      </c>
      <c r="AE30" s="9"/>
      <c r="AF30" s="14">
        <f t="shared" si="5"/>
        <v>4.5</v>
      </c>
      <c r="AG30" s="9"/>
      <c r="AH30" s="14">
        <f t="shared" si="6"/>
        <v>4.666666667</v>
      </c>
      <c r="AI30" s="9"/>
      <c r="AJ30" s="14">
        <f t="shared" si="7"/>
        <v>4</v>
      </c>
      <c r="AK30" s="9"/>
      <c r="AL30" s="19" t="s">
        <v>57</v>
      </c>
      <c r="AM30" s="15">
        <f t="shared" si="8"/>
        <v>4.176190476</v>
      </c>
      <c r="AN30" s="6">
        <v>89.92</v>
      </c>
    </row>
    <row r="31">
      <c r="A31" s="19" t="s">
        <v>58</v>
      </c>
      <c r="B31" s="20">
        <v>93.11</v>
      </c>
      <c r="C31" s="6">
        <v>4.0</v>
      </c>
      <c r="D31" s="6">
        <v>3.0</v>
      </c>
      <c r="E31" s="6">
        <v>5.0</v>
      </c>
      <c r="F31" s="6">
        <v>2.0</v>
      </c>
      <c r="G31" s="6">
        <v>2.0</v>
      </c>
      <c r="H31" s="6">
        <v>4.0</v>
      </c>
      <c r="I31" s="6">
        <v>4.0</v>
      </c>
      <c r="J31" s="6">
        <v>1.0</v>
      </c>
      <c r="K31" s="6">
        <v>4.0</v>
      </c>
      <c r="L31" s="6">
        <v>5.0</v>
      </c>
      <c r="M31" s="6">
        <v>5.0</v>
      </c>
      <c r="N31" s="6">
        <v>2.0</v>
      </c>
      <c r="O31" s="6">
        <v>3.0</v>
      </c>
      <c r="P31" s="6">
        <v>3.0</v>
      </c>
      <c r="Q31" s="6">
        <v>4.0</v>
      </c>
      <c r="R31" s="6">
        <v>4.0</v>
      </c>
      <c r="S31" s="6">
        <v>4.0</v>
      </c>
      <c r="T31" s="6">
        <v>2.0</v>
      </c>
      <c r="U31" s="6">
        <v>2.0</v>
      </c>
      <c r="V31" s="6">
        <v>4.0</v>
      </c>
      <c r="W31" s="7"/>
      <c r="X31" s="14">
        <f t="shared" si="1"/>
        <v>3.5</v>
      </c>
      <c r="Y31" s="9"/>
      <c r="Z31" s="14">
        <f t="shared" si="2"/>
        <v>3.4</v>
      </c>
      <c r="AA31" s="9"/>
      <c r="AB31" s="14">
        <f t="shared" si="3"/>
        <v>2.5</v>
      </c>
      <c r="AC31" s="9"/>
      <c r="AD31" s="14">
        <f t="shared" si="4"/>
        <v>4</v>
      </c>
      <c r="AE31" s="9"/>
      <c r="AF31" s="14">
        <f t="shared" si="5"/>
        <v>3</v>
      </c>
      <c r="AG31" s="9"/>
      <c r="AH31" s="14">
        <f t="shared" si="6"/>
        <v>4</v>
      </c>
      <c r="AI31" s="9"/>
      <c r="AJ31" s="14">
        <f t="shared" si="7"/>
        <v>2.666666667</v>
      </c>
      <c r="AK31" s="9"/>
      <c r="AL31" s="19" t="s">
        <v>58</v>
      </c>
      <c r="AM31" s="15">
        <f t="shared" si="8"/>
        <v>3.295238095</v>
      </c>
      <c r="AN31" s="20">
        <v>93.11</v>
      </c>
    </row>
    <row r="32">
      <c r="A32" s="19" t="s">
        <v>59</v>
      </c>
      <c r="B32" s="16">
        <v>94.66</v>
      </c>
      <c r="C32" s="6">
        <v>2.0</v>
      </c>
      <c r="D32" s="6">
        <v>3.0</v>
      </c>
      <c r="E32" s="6">
        <v>2.0</v>
      </c>
      <c r="F32" s="6">
        <v>3.0</v>
      </c>
      <c r="G32" s="6">
        <v>2.0</v>
      </c>
      <c r="H32" s="6">
        <v>3.0</v>
      </c>
      <c r="I32" s="6">
        <v>3.0</v>
      </c>
      <c r="J32" s="6">
        <v>5.0</v>
      </c>
      <c r="K32" s="6">
        <v>2.0</v>
      </c>
      <c r="L32" s="6">
        <v>3.0</v>
      </c>
      <c r="M32" s="6">
        <v>1.0</v>
      </c>
      <c r="N32" s="6">
        <v>2.0</v>
      </c>
      <c r="O32" s="6">
        <v>2.0</v>
      </c>
      <c r="P32" s="6">
        <v>4.0</v>
      </c>
      <c r="Q32" s="6">
        <v>2.0</v>
      </c>
      <c r="R32" s="6">
        <v>5.0</v>
      </c>
      <c r="S32" s="6">
        <v>2.0</v>
      </c>
      <c r="T32" s="6">
        <v>4.0</v>
      </c>
      <c r="U32" s="6">
        <v>3.0</v>
      </c>
      <c r="V32" s="6">
        <v>2.0</v>
      </c>
      <c r="W32" s="7"/>
      <c r="X32" s="14">
        <f t="shared" si="1"/>
        <v>2.5</v>
      </c>
      <c r="Y32" s="9"/>
      <c r="Z32" s="14">
        <f t="shared" si="2"/>
        <v>2.6</v>
      </c>
      <c r="AA32" s="9"/>
      <c r="AB32" s="14">
        <f t="shared" si="3"/>
        <v>3.5</v>
      </c>
      <c r="AC32" s="9"/>
      <c r="AD32" s="14">
        <f t="shared" si="4"/>
        <v>2</v>
      </c>
      <c r="AE32" s="9"/>
      <c r="AF32" s="14">
        <f t="shared" si="5"/>
        <v>3</v>
      </c>
      <c r="AG32" s="9"/>
      <c r="AH32" s="14">
        <f t="shared" si="6"/>
        <v>3</v>
      </c>
      <c r="AI32" s="9"/>
      <c r="AJ32" s="14">
        <f t="shared" si="7"/>
        <v>3</v>
      </c>
      <c r="AK32" s="9"/>
      <c r="AL32" s="19" t="s">
        <v>59</v>
      </c>
      <c r="AM32" s="15">
        <f t="shared" si="8"/>
        <v>2.8</v>
      </c>
      <c r="AN32" s="16">
        <v>94.66</v>
      </c>
    </row>
    <row r="33">
      <c r="A33" s="19" t="s">
        <v>60</v>
      </c>
      <c r="B33" s="16" t="s">
        <v>61</v>
      </c>
      <c r="C33" s="6">
        <v>4.0</v>
      </c>
      <c r="D33" s="6">
        <v>4.0</v>
      </c>
      <c r="E33" s="6">
        <v>4.0</v>
      </c>
      <c r="F33" s="6">
        <v>4.0</v>
      </c>
      <c r="G33" s="6">
        <v>3.0</v>
      </c>
      <c r="H33" s="6">
        <v>2.0</v>
      </c>
      <c r="I33" s="6">
        <v>2.0</v>
      </c>
      <c r="J33" s="6">
        <v>1.0</v>
      </c>
      <c r="K33" s="6">
        <v>2.0</v>
      </c>
      <c r="L33" s="6">
        <v>3.0</v>
      </c>
      <c r="M33" s="6">
        <v>3.0</v>
      </c>
      <c r="N33" s="6">
        <v>3.0</v>
      </c>
      <c r="O33" s="6">
        <v>3.0</v>
      </c>
      <c r="P33" s="6">
        <v>2.0</v>
      </c>
      <c r="Q33" s="6">
        <v>3.0</v>
      </c>
      <c r="R33" s="6">
        <v>3.0</v>
      </c>
      <c r="S33" s="6">
        <v>2.0</v>
      </c>
      <c r="T33" s="6">
        <v>3.0</v>
      </c>
      <c r="U33" s="6">
        <v>3.0</v>
      </c>
      <c r="V33" s="6">
        <v>4.0</v>
      </c>
      <c r="W33" s="7"/>
      <c r="X33" s="14">
        <f t="shared" si="1"/>
        <v>4</v>
      </c>
      <c r="Y33" s="9"/>
      <c r="Z33" s="14">
        <f t="shared" si="2"/>
        <v>3</v>
      </c>
      <c r="AA33" s="9"/>
      <c r="AB33" s="14">
        <f t="shared" si="3"/>
        <v>1.5</v>
      </c>
      <c r="AC33" s="9"/>
      <c r="AD33" s="14">
        <f t="shared" si="4"/>
        <v>3</v>
      </c>
      <c r="AE33" s="9"/>
      <c r="AF33" s="14">
        <f t="shared" si="5"/>
        <v>2.5</v>
      </c>
      <c r="AG33" s="9"/>
      <c r="AH33" s="14">
        <f t="shared" si="6"/>
        <v>2.666666667</v>
      </c>
      <c r="AI33" s="9"/>
      <c r="AJ33" s="14">
        <f t="shared" si="7"/>
        <v>3.333333333</v>
      </c>
      <c r="AK33" s="9"/>
      <c r="AL33" s="19" t="s">
        <v>60</v>
      </c>
      <c r="AM33" s="15">
        <f t="shared" si="8"/>
        <v>2.857142857</v>
      </c>
      <c r="AN33" s="16" t="s">
        <v>61</v>
      </c>
    </row>
    <row r="34">
      <c r="A34" s="19" t="s">
        <v>62</v>
      </c>
      <c r="B34" s="16" t="s">
        <v>63</v>
      </c>
      <c r="C34" s="6">
        <v>5.0</v>
      </c>
      <c r="D34" s="6">
        <v>4.0</v>
      </c>
      <c r="E34" s="6">
        <v>4.0</v>
      </c>
      <c r="F34" s="6">
        <v>4.0</v>
      </c>
      <c r="G34" s="6">
        <v>4.0</v>
      </c>
      <c r="H34" s="6">
        <v>4.0</v>
      </c>
      <c r="I34" s="6">
        <v>5.0</v>
      </c>
      <c r="J34" s="6">
        <v>4.0</v>
      </c>
      <c r="K34" s="6">
        <v>5.0</v>
      </c>
      <c r="L34" s="6">
        <v>4.0</v>
      </c>
      <c r="M34" s="6">
        <v>5.0</v>
      </c>
      <c r="N34" s="6">
        <v>5.0</v>
      </c>
      <c r="O34" s="6">
        <v>4.0</v>
      </c>
      <c r="P34" s="6">
        <v>3.0</v>
      </c>
      <c r="Q34" s="6">
        <v>4.0</v>
      </c>
      <c r="R34" s="6">
        <v>4.0</v>
      </c>
      <c r="S34" s="6">
        <v>2.0</v>
      </c>
      <c r="T34" s="6">
        <v>3.0</v>
      </c>
      <c r="U34" s="6">
        <v>4.0</v>
      </c>
      <c r="V34" s="6">
        <v>4.0</v>
      </c>
      <c r="W34" s="7"/>
      <c r="X34" s="14">
        <f t="shared" si="1"/>
        <v>4.5</v>
      </c>
      <c r="Y34" s="9"/>
      <c r="Z34" s="14">
        <f t="shared" si="2"/>
        <v>4.2</v>
      </c>
      <c r="AA34" s="9"/>
      <c r="AB34" s="14">
        <f t="shared" si="3"/>
        <v>4.5</v>
      </c>
      <c r="AC34" s="9"/>
      <c r="AD34" s="14">
        <f t="shared" si="4"/>
        <v>4.666666667</v>
      </c>
      <c r="AE34" s="9"/>
      <c r="AF34" s="14">
        <f t="shared" si="5"/>
        <v>3.5</v>
      </c>
      <c r="AG34" s="9"/>
      <c r="AH34" s="14">
        <f t="shared" si="6"/>
        <v>3.333333333</v>
      </c>
      <c r="AI34" s="9"/>
      <c r="AJ34" s="14">
        <f t="shared" si="7"/>
        <v>3.666666667</v>
      </c>
      <c r="AK34" s="9"/>
      <c r="AL34" s="19" t="s">
        <v>62</v>
      </c>
      <c r="AM34" s="15">
        <f t="shared" si="8"/>
        <v>4.052380952</v>
      </c>
      <c r="AN34" s="16" t="s">
        <v>63</v>
      </c>
    </row>
    <row r="35">
      <c r="A35" s="19" t="s">
        <v>64</v>
      </c>
      <c r="B35" s="6">
        <v>89.7</v>
      </c>
      <c r="C35" s="6">
        <v>2.0</v>
      </c>
      <c r="D35" s="6">
        <v>1.0</v>
      </c>
      <c r="E35" s="6">
        <v>2.0</v>
      </c>
      <c r="F35" s="6">
        <v>3.0</v>
      </c>
      <c r="G35" s="6">
        <v>2.0</v>
      </c>
      <c r="H35" s="6">
        <v>4.0</v>
      </c>
      <c r="I35" s="6">
        <v>2.0</v>
      </c>
      <c r="J35" s="6">
        <v>3.0</v>
      </c>
      <c r="K35" s="6">
        <v>2.0</v>
      </c>
      <c r="L35" s="6">
        <v>2.0</v>
      </c>
      <c r="M35" s="6">
        <v>3.0</v>
      </c>
      <c r="N35" s="6">
        <v>4.0</v>
      </c>
      <c r="O35" s="6">
        <v>3.0</v>
      </c>
      <c r="P35" s="6">
        <v>2.0</v>
      </c>
      <c r="Q35" s="6">
        <v>1.0</v>
      </c>
      <c r="R35" s="6">
        <v>5.0</v>
      </c>
      <c r="S35" s="6">
        <v>1.0</v>
      </c>
      <c r="T35" s="6">
        <v>3.0</v>
      </c>
      <c r="U35" s="6">
        <v>3.0</v>
      </c>
      <c r="V35" s="6">
        <v>4.0</v>
      </c>
      <c r="W35" s="7"/>
      <c r="X35" s="14">
        <f t="shared" si="1"/>
        <v>1.5</v>
      </c>
      <c r="Y35" s="9"/>
      <c r="Z35" s="14">
        <f t="shared" si="2"/>
        <v>2.6</v>
      </c>
      <c r="AA35" s="9"/>
      <c r="AB35" s="14">
        <f t="shared" si="3"/>
        <v>2.5</v>
      </c>
      <c r="AC35" s="9"/>
      <c r="AD35" s="14">
        <f t="shared" si="4"/>
        <v>3</v>
      </c>
      <c r="AE35" s="9"/>
      <c r="AF35" s="14">
        <f t="shared" si="5"/>
        <v>2.5</v>
      </c>
      <c r="AG35" s="9"/>
      <c r="AH35" s="14">
        <f t="shared" si="6"/>
        <v>2.333333333</v>
      </c>
      <c r="AI35" s="9"/>
      <c r="AJ35" s="14">
        <f t="shared" si="7"/>
        <v>3.333333333</v>
      </c>
      <c r="AK35" s="9"/>
      <c r="AL35" s="19" t="s">
        <v>64</v>
      </c>
      <c r="AM35" s="15">
        <f t="shared" si="8"/>
        <v>2.538095238</v>
      </c>
      <c r="AN35" s="6">
        <v>89.7</v>
      </c>
    </row>
    <row r="36">
      <c r="A36" s="19" t="s">
        <v>65</v>
      </c>
      <c r="B36" s="6">
        <v>95.46</v>
      </c>
      <c r="C36" s="6">
        <v>3.0</v>
      </c>
      <c r="D36" s="6">
        <v>3.0</v>
      </c>
      <c r="E36" s="6">
        <v>1.0</v>
      </c>
      <c r="F36" s="6">
        <v>4.0</v>
      </c>
      <c r="G36" s="6">
        <v>2.0</v>
      </c>
      <c r="H36" s="6">
        <v>3.0</v>
      </c>
      <c r="I36" s="6">
        <v>2.0</v>
      </c>
      <c r="J36" s="6">
        <v>1.0</v>
      </c>
      <c r="K36" s="6">
        <v>2.0</v>
      </c>
      <c r="L36" s="6">
        <v>4.0</v>
      </c>
      <c r="M36" s="6">
        <v>3.0</v>
      </c>
      <c r="N36" s="6">
        <v>3.0</v>
      </c>
      <c r="O36" s="6">
        <v>2.0</v>
      </c>
      <c r="P36" s="6">
        <v>3.0</v>
      </c>
      <c r="Q36" s="6">
        <v>2.0</v>
      </c>
      <c r="R36" s="6">
        <v>3.0</v>
      </c>
      <c r="S36" s="6">
        <v>3.0</v>
      </c>
      <c r="T36" s="6">
        <v>3.0</v>
      </c>
      <c r="U36" s="6">
        <v>3.0</v>
      </c>
      <c r="V36" s="6">
        <v>3.0</v>
      </c>
      <c r="W36" s="7"/>
      <c r="X36" s="14">
        <f t="shared" si="1"/>
        <v>3</v>
      </c>
      <c r="Y36" s="9"/>
      <c r="Z36" s="14">
        <f t="shared" si="2"/>
        <v>2.4</v>
      </c>
      <c r="AA36" s="9"/>
      <c r="AB36" s="14">
        <f t="shared" si="3"/>
        <v>1.5</v>
      </c>
      <c r="AC36" s="9"/>
      <c r="AD36" s="14">
        <f t="shared" si="4"/>
        <v>3.333333333</v>
      </c>
      <c r="AE36" s="9"/>
      <c r="AF36" s="14">
        <f t="shared" si="5"/>
        <v>2.5</v>
      </c>
      <c r="AG36" s="9"/>
      <c r="AH36" s="14">
        <f t="shared" si="6"/>
        <v>2.666666667</v>
      </c>
      <c r="AI36" s="9"/>
      <c r="AJ36" s="14">
        <f t="shared" si="7"/>
        <v>3</v>
      </c>
      <c r="AK36" s="9"/>
      <c r="AL36" s="19" t="s">
        <v>65</v>
      </c>
      <c r="AM36" s="15">
        <f t="shared" si="8"/>
        <v>2.628571429</v>
      </c>
      <c r="AN36" s="6">
        <v>95.46</v>
      </c>
    </row>
    <row r="37">
      <c r="A37" s="19" t="s">
        <v>66</v>
      </c>
      <c r="B37" s="6">
        <v>83.0</v>
      </c>
      <c r="C37" s="6">
        <v>3.0</v>
      </c>
      <c r="D37" s="6">
        <v>4.0</v>
      </c>
      <c r="E37" s="6">
        <v>2.0</v>
      </c>
      <c r="F37" s="6">
        <v>3.0</v>
      </c>
      <c r="G37" s="6">
        <v>2.0</v>
      </c>
      <c r="H37" s="6">
        <v>2.0</v>
      </c>
      <c r="I37" s="6">
        <v>4.0</v>
      </c>
      <c r="J37" s="6">
        <v>4.0</v>
      </c>
      <c r="K37" s="6">
        <v>3.0</v>
      </c>
      <c r="L37" s="6">
        <v>3.0</v>
      </c>
      <c r="M37" s="6">
        <v>4.0</v>
      </c>
      <c r="N37" s="6">
        <v>3.0</v>
      </c>
      <c r="O37" s="6">
        <v>3.0</v>
      </c>
      <c r="P37" s="6">
        <v>1.0</v>
      </c>
      <c r="Q37" s="6">
        <v>3.0</v>
      </c>
      <c r="R37" s="6">
        <v>3.0</v>
      </c>
      <c r="S37" s="6">
        <v>1.0</v>
      </c>
      <c r="T37" s="6">
        <v>3.0</v>
      </c>
      <c r="U37" s="6">
        <v>3.0</v>
      </c>
      <c r="V37" s="6">
        <v>2.0</v>
      </c>
      <c r="W37" s="7"/>
      <c r="X37" s="14">
        <f t="shared" si="1"/>
        <v>3.5</v>
      </c>
      <c r="Y37" s="9"/>
      <c r="Z37" s="14">
        <f t="shared" si="2"/>
        <v>2.6</v>
      </c>
      <c r="AA37" s="9"/>
      <c r="AB37" s="14">
        <f t="shared" si="3"/>
        <v>3.5</v>
      </c>
      <c r="AC37" s="9"/>
      <c r="AD37" s="14">
        <f t="shared" si="4"/>
        <v>3.333333333</v>
      </c>
      <c r="AE37" s="9"/>
      <c r="AF37" s="14">
        <f t="shared" si="5"/>
        <v>2</v>
      </c>
      <c r="AG37" s="9"/>
      <c r="AH37" s="14">
        <f t="shared" si="6"/>
        <v>2.333333333</v>
      </c>
      <c r="AI37" s="9"/>
      <c r="AJ37" s="14">
        <f t="shared" si="7"/>
        <v>2.666666667</v>
      </c>
      <c r="AK37" s="9"/>
      <c r="AL37" s="19" t="s">
        <v>66</v>
      </c>
      <c r="AM37" s="15">
        <f t="shared" si="8"/>
        <v>2.847619048</v>
      </c>
      <c r="AN37" s="6">
        <v>83.0</v>
      </c>
    </row>
    <row r="38">
      <c r="A38" s="19" t="s">
        <v>67</v>
      </c>
      <c r="B38" s="16" t="s">
        <v>68</v>
      </c>
      <c r="C38" s="6">
        <v>4.0</v>
      </c>
      <c r="D38" s="6">
        <v>4.0</v>
      </c>
      <c r="E38" s="6">
        <v>3.0</v>
      </c>
      <c r="F38" s="6">
        <v>4.0</v>
      </c>
      <c r="G38" s="6">
        <v>3.0</v>
      </c>
      <c r="H38" s="6">
        <v>3.0</v>
      </c>
      <c r="I38" s="6">
        <v>4.0</v>
      </c>
      <c r="J38" s="6">
        <v>2.0</v>
      </c>
      <c r="K38" s="6">
        <v>3.0</v>
      </c>
      <c r="L38" s="6">
        <v>3.0</v>
      </c>
      <c r="M38" s="6">
        <v>4.0</v>
      </c>
      <c r="N38" s="6">
        <v>1.0</v>
      </c>
      <c r="O38" s="6">
        <v>4.0</v>
      </c>
      <c r="P38" s="6">
        <v>3.0</v>
      </c>
      <c r="Q38" s="6">
        <v>2.0</v>
      </c>
      <c r="R38" s="6">
        <v>3.0</v>
      </c>
      <c r="S38" s="6">
        <v>3.0</v>
      </c>
      <c r="T38" s="6">
        <v>2.0</v>
      </c>
      <c r="U38" s="6">
        <v>3.0</v>
      </c>
      <c r="V38" s="6">
        <v>3.0</v>
      </c>
      <c r="W38" s="7"/>
      <c r="X38" s="14">
        <f t="shared" si="1"/>
        <v>4</v>
      </c>
      <c r="Y38" s="9"/>
      <c r="Z38" s="14">
        <f t="shared" si="2"/>
        <v>3.4</v>
      </c>
      <c r="AA38" s="9"/>
      <c r="AB38" s="14">
        <f t="shared" si="3"/>
        <v>2.5</v>
      </c>
      <c r="AC38" s="9"/>
      <c r="AD38" s="14">
        <f t="shared" si="4"/>
        <v>2.666666667</v>
      </c>
      <c r="AE38" s="9"/>
      <c r="AF38" s="14">
        <f t="shared" si="5"/>
        <v>3.5</v>
      </c>
      <c r="AG38" s="9"/>
      <c r="AH38" s="14">
        <f t="shared" si="6"/>
        <v>2.666666667</v>
      </c>
      <c r="AI38" s="9"/>
      <c r="AJ38" s="14">
        <f t="shared" si="7"/>
        <v>2.666666667</v>
      </c>
      <c r="AK38" s="9"/>
      <c r="AL38" s="19" t="s">
        <v>67</v>
      </c>
      <c r="AM38" s="15">
        <f t="shared" si="8"/>
        <v>3.057142857</v>
      </c>
      <c r="AN38" s="16" t="s">
        <v>68</v>
      </c>
    </row>
    <row r="39">
      <c r="A39" s="19" t="s">
        <v>69</v>
      </c>
      <c r="B39" s="6">
        <v>92.0</v>
      </c>
      <c r="C39" s="6">
        <v>4.0</v>
      </c>
      <c r="D39" s="6">
        <v>5.0</v>
      </c>
      <c r="E39" s="6">
        <v>3.0</v>
      </c>
      <c r="F39" s="6">
        <v>4.0</v>
      </c>
      <c r="G39" s="6">
        <v>3.0</v>
      </c>
      <c r="H39" s="6">
        <v>4.0</v>
      </c>
      <c r="I39" s="6">
        <v>3.0</v>
      </c>
      <c r="J39" s="6">
        <v>3.0</v>
      </c>
      <c r="K39" s="6">
        <v>3.0</v>
      </c>
      <c r="L39" s="6">
        <v>4.0</v>
      </c>
      <c r="M39" s="6">
        <v>5.0</v>
      </c>
      <c r="N39" s="6">
        <v>4.0</v>
      </c>
      <c r="O39" s="6">
        <v>5.0</v>
      </c>
      <c r="P39" s="6">
        <v>5.0</v>
      </c>
      <c r="Q39" s="6">
        <v>3.0</v>
      </c>
      <c r="R39" s="6">
        <v>4.0</v>
      </c>
      <c r="S39" s="6">
        <v>3.0</v>
      </c>
      <c r="T39" s="6">
        <v>3.0</v>
      </c>
      <c r="U39" s="6">
        <v>5.0</v>
      </c>
      <c r="V39" s="6">
        <v>4.0</v>
      </c>
      <c r="W39" s="7"/>
      <c r="X39" s="14">
        <f t="shared" si="1"/>
        <v>4.5</v>
      </c>
      <c r="Y39" s="9"/>
      <c r="Z39" s="14">
        <f t="shared" si="2"/>
        <v>3.4</v>
      </c>
      <c r="AA39" s="9"/>
      <c r="AB39" s="14">
        <f t="shared" si="3"/>
        <v>3</v>
      </c>
      <c r="AC39" s="9"/>
      <c r="AD39" s="14">
        <f t="shared" si="4"/>
        <v>4.333333333</v>
      </c>
      <c r="AE39" s="9"/>
      <c r="AF39" s="14">
        <f t="shared" si="5"/>
        <v>5</v>
      </c>
      <c r="AG39" s="9"/>
      <c r="AH39" s="14">
        <f t="shared" si="6"/>
        <v>3.333333333</v>
      </c>
      <c r="AI39" s="9"/>
      <c r="AJ39" s="14">
        <f t="shared" si="7"/>
        <v>4</v>
      </c>
      <c r="AK39" s="9"/>
      <c r="AL39" s="19" t="s">
        <v>69</v>
      </c>
      <c r="AM39" s="15">
        <f t="shared" si="8"/>
        <v>3.938095238</v>
      </c>
      <c r="AN39" s="6">
        <v>92.0</v>
      </c>
    </row>
    <row r="40">
      <c r="A40" s="19" t="s">
        <v>70</v>
      </c>
      <c r="B40" s="6">
        <v>93.9</v>
      </c>
      <c r="C40" s="6">
        <v>4.0</v>
      </c>
      <c r="D40" s="6">
        <v>4.0</v>
      </c>
      <c r="E40" s="6">
        <v>4.0</v>
      </c>
      <c r="F40" s="6">
        <v>3.0</v>
      </c>
      <c r="G40" s="6">
        <v>2.0</v>
      </c>
      <c r="H40" s="6">
        <v>4.0</v>
      </c>
      <c r="I40" s="6">
        <v>2.0</v>
      </c>
      <c r="J40" s="6">
        <v>4.0</v>
      </c>
      <c r="K40" s="6">
        <v>5.0</v>
      </c>
      <c r="L40" s="6">
        <v>2.0</v>
      </c>
      <c r="M40" s="6">
        <v>5.0</v>
      </c>
      <c r="N40" s="6">
        <v>5.0</v>
      </c>
      <c r="O40" s="6">
        <v>3.0</v>
      </c>
      <c r="P40" s="6">
        <v>2.0</v>
      </c>
      <c r="Q40" s="6">
        <v>3.0</v>
      </c>
      <c r="R40" s="6">
        <v>3.0</v>
      </c>
      <c r="S40" s="6">
        <v>2.0</v>
      </c>
      <c r="T40" s="6">
        <v>5.0</v>
      </c>
      <c r="U40" s="6">
        <v>5.0</v>
      </c>
      <c r="V40" s="6">
        <v>5.0</v>
      </c>
      <c r="W40" s="7"/>
      <c r="X40" s="14">
        <f t="shared" si="1"/>
        <v>4</v>
      </c>
      <c r="Y40" s="9"/>
      <c r="Z40" s="14">
        <f t="shared" si="2"/>
        <v>3</v>
      </c>
      <c r="AA40" s="9"/>
      <c r="AB40" s="14">
        <f t="shared" si="3"/>
        <v>4.5</v>
      </c>
      <c r="AC40" s="9"/>
      <c r="AD40" s="14">
        <f t="shared" si="4"/>
        <v>4</v>
      </c>
      <c r="AE40" s="9"/>
      <c r="AF40" s="14">
        <f t="shared" si="5"/>
        <v>2.5</v>
      </c>
      <c r="AG40" s="9"/>
      <c r="AH40" s="14">
        <f t="shared" si="6"/>
        <v>2.666666667</v>
      </c>
      <c r="AI40" s="9"/>
      <c r="AJ40" s="14">
        <f t="shared" si="7"/>
        <v>5</v>
      </c>
      <c r="AK40" s="9"/>
      <c r="AL40" s="19" t="s">
        <v>70</v>
      </c>
      <c r="AM40" s="15">
        <f t="shared" si="8"/>
        <v>3.666666667</v>
      </c>
      <c r="AN40" s="6">
        <v>93.9</v>
      </c>
    </row>
    <row r="41">
      <c r="A41" s="19" t="s">
        <v>71</v>
      </c>
      <c r="B41" s="16">
        <v>87.89</v>
      </c>
      <c r="C41" s="6">
        <v>3.0</v>
      </c>
      <c r="D41" s="6">
        <v>3.0</v>
      </c>
      <c r="E41" s="6">
        <v>3.0</v>
      </c>
      <c r="F41" s="6">
        <v>4.0</v>
      </c>
      <c r="G41" s="6">
        <v>2.0</v>
      </c>
      <c r="H41" s="6">
        <v>5.0</v>
      </c>
      <c r="I41" s="6">
        <v>2.0</v>
      </c>
      <c r="J41" s="6">
        <v>5.0</v>
      </c>
      <c r="K41" s="6">
        <v>5.0</v>
      </c>
      <c r="L41" s="6">
        <v>3.0</v>
      </c>
      <c r="M41" s="6">
        <v>3.0</v>
      </c>
      <c r="N41" s="6">
        <v>5.0</v>
      </c>
      <c r="O41" s="6">
        <v>3.0</v>
      </c>
      <c r="P41" s="6">
        <v>4.0</v>
      </c>
      <c r="Q41" s="6">
        <v>2.0</v>
      </c>
      <c r="R41" s="6">
        <v>2.0</v>
      </c>
      <c r="S41" s="6">
        <v>3.0</v>
      </c>
      <c r="T41" s="6">
        <v>3.0</v>
      </c>
      <c r="U41" s="6">
        <v>3.0</v>
      </c>
      <c r="V41" s="6">
        <v>5.0</v>
      </c>
      <c r="W41" s="7"/>
      <c r="X41" s="14">
        <f t="shared" si="1"/>
        <v>3</v>
      </c>
      <c r="Y41" s="9"/>
      <c r="Z41" s="14">
        <f t="shared" si="2"/>
        <v>3.2</v>
      </c>
      <c r="AA41" s="9"/>
      <c r="AB41" s="14">
        <f t="shared" si="3"/>
        <v>5</v>
      </c>
      <c r="AC41" s="9"/>
      <c r="AD41" s="14">
        <f t="shared" si="4"/>
        <v>3.666666667</v>
      </c>
      <c r="AE41" s="9"/>
      <c r="AF41" s="14">
        <f t="shared" si="5"/>
        <v>3.5</v>
      </c>
      <c r="AG41" s="9"/>
      <c r="AH41" s="14">
        <f t="shared" si="6"/>
        <v>2.333333333</v>
      </c>
      <c r="AI41" s="9"/>
      <c r="AJ41" s="14">
        <f t="shared" si="7"/>
        <v>3.666666667</v>
      </c>
      <c r="AK41" s="9"/>
      <c r="AL41" s="19" t="s">
        <v>71</v>
      </c>
      <c r="AM41" s="15">
        <f t="shared" si="8"/>
        <v>3.480952381</v>
      </c>
      <c r="AN41" s="16">
        <v>87.89</v>
      </c>
    </row>
    <row r="42">
      <c r="A42" s="19" t="s">
        <v>72</v>
      </c>
      <c r="B42" s="6">
        <v>87.18</v>
      </c>
      <c r="C42" s="6">
        <v>4.0</v>
      </c>
      <c r="D42" s="6">
        <v>3.0</v>
      </c>
      <c r="E42" s="6">
        <v>4.0</v>
      </c>
      <c r="F42" s="6">
        <v>4.0</v>
      </c>
      <c r="G42" s="6">
        <v>3.0</v>
      </c>
      <c r="H42" s="6">
        <v>3.0</v>
      </c>
      <c r="I42" s="6">
        <v>3.0</v>
      </c>
      <c r="J42" s="6">
        <v>5.0</v>
      </c>
      <c r="K42" s="6">
        <v>3.0</v>
      </c>
      <c r="L42" s="6">
        <v>4.0</v>
      </c>
      <c r="M42" s="6">
        <v>4.0</v>
      </c>
      <c r="N42" s="6">
        <v>1.0</v>
      </c>
      <c r="O42" s="6">
        <v>3.0</v>
      </c>
      <c r="P42" s="6">
        <v>3.0</v>
      </c>
      <c r="Q42" s="6">
        <v>4.0</v>
      </c>
      <c r="R42" s="6">
        <v>4.0</v>
      </c>
      <c r="S42" s="6">
        <v>2.0</v>
      </c>
      <c r="T42" s="6">
        <v>3.0</v>
      </c>
      <c r="U42" s="6">
        <v>4.0</v>
      </c>
      <c r="V42" s="6">
        <v>3.0</v>
      </c>
      <c r="W42" s="7"/>
      <c r="X42" s="14">
        <f t="shared" si="1"/>
        <v>3.5</v>
      </c>
      <c r="Y42" s="9"/>
      <c r="Z42" s="14">
        <f t="shared" si="2"/>
        <v>3.4</v>
      </c>
      <c r="AA42" s="9"/>
      <c r="AB42" s="14">
        <f t="shared" si="3"/>
        <v>4</v>
      </c>
      <c r="AC42" s="9"/>
      <c r="AD42" s="14">
        <f t="shared" si="4"/>
        <v>3</v>
      </c>
      <c r="AE42" s="9"/>
      <c r="AF42" s="14">
        <f t="shared" si="5"/>
        <v>3</v>
      </c>
      <c r="AG42" s="9"/>
      <c r="AH42" s="14">
        <f t="shared" si="6"/>
        <v>3.333333333</v>
      </c>
      <c r="AI42" s="9"/>
      <c r="AJ42" s="14">
        <f t="shared" si="7"/>
        <v>3.333333333</v>
      </c>
      <c r="AK42" s="9"/>
      <c r="AL42" s="19" t="s">
        <v>72</v>
      </c>
      <c r="AM42" s="15">
        <f t="shared" si="8"/>
        <v>3.366666667</v>
      </c>
      <c r="AN42" s="6">
        <v>87.18</v>
      </c>
    </row>
    <row r="43">
      <c r="A43" s="19" t="s">
        <v>73</v>
      </c>
      <c r="B43" s="16" t="s">
        <v>74</v>
      </c>
      <c r="C43" s="6">
        <v>5.0</v>
      </c>
      <c r="D43" s="6">
        <v>4.0</v>
      </c>
      <c r="E43" s="6">
        <v>4.0</v>
      </c>
      <c r="F43" s="6">
        <v>3.0</v>
      </c>
      <c r="G43" s="6">
        <v>5.0</v>
      </c>
      <c r="H43" s="6">
        <v>5.0</v>
      </c>
      <c r="I43" s="6">
        <v>2.0</v>
      </c>
      <c r="J43" s="6">
        <v>4.0</v>
      </c>
      <c r="K43" s="6">
        <v>1.0</v>
      </c>
      <c r="L43" s="6">
        <v>3.0</v>
      </c>
      <c r="M43" s="6">
        <v>5.0</v>
      </c>
      <c r="N43" s="6">
        <v>5.0</v>
      </c>
      <c r="O43" s="6">
        <v>4.0</v>
      </c>
      <c r="P43" s="6">
        <v>4.0</v>
      </c>
      <c r="Q43" s="6">
        <v>5.0</v>
      </c>
      <c r="R43" s="6">
        <v>4.0</v>
      </c>
      <c r="S43" s="6">
        <v>2.0</v>
      </c>
      <c r="T43" s="6">
        <v>5.0</v>
      </c>
      <c r="U43" s="6">
        <v>3.0</v>
      </c>
      <c r="V43" s="6">
        <v>4.0</v>
      </c>
      <c r="W43" s="7"/>
      <c r="X43" s="14">
        <f t="shared" si="1"/>
        <v>4.5</v>
      </c>
      <c r="Y43" s="9"/>
      <c r="Z43" s="14">
        <f t="shared" si="2"/>
        <v>3.8</v>
      </c>
      <c r="AA43" s="9"/>
      <c r="AB43" s="14">
        <f t="shared" si="3"/>
        <v>2.5</v>
      </c>
      <c r="AC43" s="9"/>
      <c r="AD43" s="14">
        <f t="shared" si="4"/>
        <v>4.333333333</v>
      </c>
      <c r="AE43" s="9"/>
      <c r="AF43" s="14">
        <f t="shared" si="5"/>
        <v>4</v>
      </c>
      <c r="AG43" s="9"/>
      <c r="AH43" s="14">
        <f t="shared" si="6"/>
        <v>3.666666667</v>
      </c>
      <c r="AI43" s="9"/>
      <c r="AJ43" s="14">
        <f t="shared" si="7"/>
        <v>4</v>
      </c>
      <c r="AK43" s="9"/>
      <c r="AL43" s="19" t="s">
        <v>73</v>
      </c>
      <c r="AM43" s="15">
        <f t="shared" si="8"/>
        <v>3.828571429</v>
      </c>
      <c r="AN43" s="16" t="s">
        <v>74</v>
      </c>
    </row>
    <row r="44">
      <c r="A44" s="19" t="s">
        <v>75</v>
      </c>
      <c r="B44" s="16" t="s">
        <v>76</v>
      </c>
      <c r="C44" s="6">
        <v>3.0</v>
      </c>
      <c r="D44" s="6">
        <v>3.0</v>
      </c>
      <c r="E44" s="6">
        <v>3.0</v>
      </c>
      <c r="F44" s="6">
        <v>3.0</v>
      </c>
      <c r="G44" s="6">
        <v>3.0</v>
      </c>
      <c r="H44" s="6">
        <v>3.0</v>
      </c>
      <c r="I44" s="6">
        <v>3.0</v>
      </c>
      <c r="J44" s="6">
        <v>3.0</v>
      </c>
      <c r="K44" s="6">
        <v>4.0</v>
      </c>
      <c r="L44" s="6">
        <v>3.0</v>
      </c>
      <c r="M44" s="6">
        <v>3.0</v>
      </c>
      <c r="N44" s="6">
        <v>3.0</v>
      </c>
      <c r="O44" s="6">
        <v>3.0</v>
      </c>
      <c r="P44" s="6">
        <v>3.0</v>
      </c>
      <c r="Q44" s="6">
        <v>3.0</v>
      </c>
      <c r="R44" s="6">
        <v>3.0</v>
      </c>
      <c r="S44" s="6">
        <v>3.0</v>
      </c>
      <c r="T44" s="6">
        <v>3.0</v>
      </c>
      <c r="U44" s="6">
        <v>3.0</v>
      </c>
      <c r="V44" s="6">
        <v>3.0</v>
      </c>
      <c r="W44" s="7"/>
      <c r="X44" s="14">
        <f t="shared" si="1"/>
        <v>3</v>
      </c>
      <c r="Y44" s="9"/>
      <c r="Z44" s="14">
        <f t="shared" si="2"/>
        <v>3</v>
      </c>
      <c r="AA44" s="9"/>
      <c r="AB44" s="14">
        <f t="shared" si="3"/>
        <v>3.5</v>
      </c>
      <c r="AC44" s="9"/>
      <c r="AD44" s="14">
        <f t="shared" si="4"/>
        <v>3</v>
      </c>
      <c r="AE44" s="9"/>
      <c r="AF44" s="14">
        <f t="shared" si="5"/>
        <v>3</v>
      </c>
      <c r="AG44" s="9"/>
      <c r="AH44" s="14">
        <f t="shared" si="6"/>
        <v>3</v>
      </c>
      <c r="AI44" s="9"/>
      <c r="AJ44" s="14">
        <f t="shared" si="7"/>
        <v>3</v>
      </c>
      <c r="AK44" s="9"/>
      <c r="AL44" s="19" t="s">
        <v>75</v>
      </c>
      <c r="AM44" s="15">
        <f t="shared" si="8"/>
        <v>3.071428571</v>
      </c>
      <c r="AN44" s="16" t="s">
        <v>76</v>
      </c>
    </row>
    <row r="45">
      <c r="A45" s="19" t="s">
        <v>77</v>
      </c>
      <c r="B45" s="16" t="s">
        <v>78</v>
      </c>
      <c r="C45" s="6">
        <v>3.0</v>
      </c>
      <c r="D45" s="6">
        <v>4.0</v>
      </c>
      <c r="E45" s="6">
        <v>3.0</v>
      </c>
      <c r="F45" s="6">
        <v>4.0</v>
      </c>
      <c r="G45" s="6">
        <v>2.0</v>
      </c>
      <c r="H45" s="6">
        <v>2.0</v>
      </c>
      <c r="I45" s="6">
        <v>3.0</v>
      </c>
      <c r="J45" s="6">
        <v>4.0</v>
      </c>
      <c r="K45" s="6">
        <v>2.0</v>
      </c>
      <c r="L45" s="6">
        <v>3.0</v>
      </c>
      <c r="M45" s="6">
        <v>4.0</v>
      </c>
      <c r="N45" s="6">
        <v>3.0</v>
      </c>
      <c r="O45" s="6">
        <v>3.0</v>
      </c>
      <c r="P45" s="6">
        <v>3.0</v>
      </c>
      <c r="Q45" s="6">
        <v>2.0</v>
      </c>
      <c r="R45" s="6">
        <v>3.0</v>
      </c>
      <c r="S45" s="6">
        <v>3.0</v>
      </c>
      <c r="T45" s="6">
        <v>2.0</v>
      </c>
      <c r="U45" s="6">
        <v>4.0</v>
      </c>
      <c r="V45" s="6">
        <v>3.0</v>
      </c>
      <c r="W45" s="7"/>
      <c r="X45" s="14">
        <f t="shared" si="1"/>
        <v>3.5</v>
      </c>
      <c r="Y45" s="9"/>
      <c r="Z45" s="14">
        <f t="shared" si="2"/>
        <v>2.8</v>
      </c>
      <c r="AA45" s="9"/>
      <c r="AB45" s="14">
        <f t="shared" si="3"/>
        <v>3</v>
      </c>
      <c r="AC45" s="9"/>
      <c r="AD45" s="14">
        <f t="shared" si="4"/>
        <v>3.333333333</v>
      </c>
      <c r="AE45" s="9"/>
      <c r="AF45" s="14">
        <f t="shared" si="5"/>
        <v>3</v>
      </c>
      <c r="AG45" s="9"/>
      <c r="AH45" s="14">
        <f t="shared" si="6"/>
        <v>2.666666667</v>
      </c>
      <c r="AI45" s="9"/>
      <c r="AJ45" s="14">
        <f t="shared" si="7"/>
        <v>3</v>
      </c>
      <c r="AK45" s="9"/>
      <c r="AL45" s="19" t="s">
        <v>77</v>
      </c>
      <c r="AM45" s="15">
        <f t="shared" si="8"/>
        <v>3.042857143</v>
      </c>
      <c r="AN45" s="16" t="s">
        <v>78</v>
      </c>
    </row>
    <row r="46">
      <c r="A46" s="19" t="s">
        <v>79</v>
      </c>
      <c r="B46" s="16" t="s">
        <v>80</v>
      </c>
      <c r="C46" s="6">
        <v>5.0</v>
      </c>
      <c r="D46" s="6">
        <v>5.0</v>
      </c>
      <c r="E46" s="6">
        <v>3.0</v>
      </c>
      <c r="F46" s="6">
        <v>5.0</v>
      </c>
      <c r="G46" s="6">
        <v>3.0</v>
      </c>
      <c r="H46" s="6">
        <v>2.0</v>
      </c>
      <c r="I46" s="6">
        <v>4.0</v>
      </c>
      <c r="J46" s="6">
        <v>3.0</v>
      </c>
      <c r="K46" s="6">
        <v>2.0</v>
      </c>
      <c r="L46" s="6">
        <v>4.0</v>
      </c>
      <c r="M46" s="6">
        <v>4.0</v>
      </c>
      <c r="N46" s="6">
        <v>4.0</v>
      </c>
      <c r="O46" s="6">
        <v>4.0</v>
      </c>
      <c r="P46" s="6">
        <v>4.0</v>
      </c>
      <c r="Q46" s="6">
        <v>4.0</v>
      </c>
      <c r="R46" s="6">
        <v>3.0</v>
      </c>
      <c r="S46" s="6">
        <v>3.0</v>
      </c>
      <c r="T46" s="6">
        <v>3.0</v>
      </c>
      <c r="U46" s="6">
        <v>4.0</v>
      </c>
      <c r="V46" s="6">
        <v>5.0</v>
      </c>
      <c r="W46" s="7"/>
      <c r="X46" s="14">
        <f t="shared" si="1"/>
        <v>5</v>
      </c>
      <c r="Y46" s="9"/>
      <c r="Z46" s="14">
        <f t="shared" si="2"/>
        <v>3.4</v>
      </c>
      <c r="AA46" s="9"/>
      <c r="AB46" s="14">
        <f t="shared" si="3"/>
        <v>2.5</v>
      </c>
      <c r="AC46" s="9"/>
      <c r="AD46" s="14">
        <f t="shared" si="4"/>
        <v>4</v>
      </c>
      <c r="AE46" s="9"/>
      <c r="AF46" s="14">
        <f t="shared" si="5"/>
        <v>4</v>
      </c>
      <c r="AG46" s="9"/>
      <c r="AH46" s="14">
        <f t="shared" si="6"/>
        <v>3.333333333</v>
      </c>
      <c r="AI46" s="9"/>
      <c r="AJ46" s="14">
        <f t="shared" si="7"/>
        <v>4</v>
      </c>
      <c r="AK46" s="9"/>
      <c r="AL46" s="19" t="s">
        <v>79</v>
      </c>
      <c r="AM46" s="15">
        <f t="shared" si="8"/>
        <v>3.747619048</v>
      </c>
      <c r="AN46" s="16" t="s">
        <v>80</v>
      </c>
    </row>
    <row r="47">
      <c r="A47" s="19" t="s">
        <v>81</v>
      </c>
      <c r="B47" s="6">
        <v>93.36</v>
      </c>
      <c r="C47" s="6">
        <v>4.0</v>
      </c>
      <c r="D47" s="6">
        <v>4.0</v>
      </c>
      <c r="E47" s="6">
        <v>2.0</v>
      </c>
      <c r="F47" s="6">
        <v>3.0</v>
      </c>
      <c r="G47" s="6">
        <v>3.0</v>
      </c>
      <c r="H47" s="6">
        <v>4.0</v>
      </c>
      <c r="I47" s="6">
        <v>3.0</v>
      </c>
      <c r="J47" s="6">
        <v>3.0</v>
      </c>
      <c r="K47" s="6">
        <v>2.0</v>
      </c>
      <c r="L47" s="6">
        <v>3.0</v>
      </c>
      <c r="M47" s="6">
        <v>3.0</v>
      </c>
      <c r="N47" s="6">
        <v>2.0</v>
      </c>
      <c r="O47" s="6">
        <v>3.0</v>
      </c>
      <c r="P47" s="6">
        <v>3.0</v>
      </c>
      <c r="Q47" s="6">
        <v>3.0</v>
      </c>
      <c r="R47" s="6">
        <v>3.0</v>
      </c>
      <c r="S47" s="6">
        <v>2.0</v>
      </c>
      <c r="T47" s="6">
        <v>3.0</v>
      </c>
      <c r="U47" s="6">
        <v>3.0</v>
      </c>
      <c r="V47" s="6">
        <v>3.0</v>
      </c>
      <c r="W47" s="7"/>
      <c r="X47" s="14">
        <f t="shared" si="1"/>
        <v>4</v>
      </c>
      <c r="Y47" s="9"/>
      <c r="Z47" s="14">
        <f t="shared" si="2"/>
        <v>3</v>
      </c>
      <c r="AA47" s="9"/>
      <c r="AB47" s="14">
        <f t="shared" si="3"/>
        <v>2.5</v>
      </c>
      <c r="AC47" s="9"/>
      <c r="AD47" s="14">
        <f t="shared" si="4"/>
        <v>2.666666667</v>
      </c>
      <c r="AE47" s="9"/>
      <c r="AF47" s="14">
        <f t="shared" si="5"/>
        <v>3</v>
      </c>
      <c r="AG47" s="9"/>
      <c r="AH47" s="14">
        <f t="shared" si="6"/>
        <v>2.666666667</v>
      </c>
      <c r="AI47" s="9"/>
      <c r="AJ47" s="14">
        <f t="shared" si="7"/>
        <v>3</v>
      </c>
      <c r="AK47" s="9"/>
      <c r="AL47" s="19" t="s">
        <v>81</v>
      </c>
      <c r="AM47" s="15">
        <f t="shared" si="8"/>
        <v>2.976190476</v>
      </c>
      <c r="AN47" s="6">
        <v>93.36</v>
      </c>
    </row>
    <row r="48">
      <c r="A48" s="19" t="s">
        <v>82</v>
      </c>
      <c r="B48" s="6">
        <v>89.86</v>
      </c>
      <c r="C48" s="6">
        <v>3.0</v>
      </c>
      <c r="D48" s="6">
        <v>3.0</v>
      </c>
      <c r="E48" s="6">
        <v>2.0</v>
      </c>
      <c r="F48" s="6">
        <v>2.0</v>
      </c>
      <c r="G48" s="6">
        <v>3.0</v>
      </c>
      <c r="H48" s="6">
        <v>1.0</v>
      </c>
      <c r="I48" s="6">
        <v>2.0</v>
      </c>
      <c r="J48" s="6">
        <v>4.0</v>
      </c>
      <c r="K48" s="6">
        <v>1.0</v>
      </c>
      <c r="L48" s="6">
        <v>3.0</v>
      </c>
      <c r="M48" s="6">
        <v>3.0</v>
      </c>
      <c r="N48" s="6">
        <v>2.0</v>
      </c>
      <c r="O48" s="6">
        <v>3.0</v>
      </c>
      <c r="P48" s="6">
        <v>3.0</v>
      </c>
      <c r="Q48" s="6">
        <v>2.0</v>
      </c>
      <c r="R48" s="6">
        <v>3.0</v>
      </c>
      <c r="S48" s="6">
        <v>1.0</v>
      </c>
      <c r="T48" s="6">
        <v>3.0</v>
      </c>
      <c r="U48" s="6">
        <v>3.0</v>
      </c>
      <c r="V48" s="6">
        <v>3.0</v>
      </c>
      <c r="W48" s="7"/>
      <c r="X48" s="14">
        <f t="shared" si="1"/>
        <v>3</v>
      </c>
      <c r="Y48" s="9"/>
      <c r="Z48" s="14">
        <f t="shared" si="2"/>
        <v>2</v>
      </c>
      <c r="AA48" s="9"/>
      <c r="AB48" s="14">
        <f t="shared" si="3"/>
        <v>2.5</v>
      </c>
      <c r="AC48" s="9"/>
      <c r="AD48" s="14">
        <f t="shared" si="4"/>
        <v>2.666666667</v>
      </c>
      <c r="AE48" s="9"/>
      <c r="AF48" s="14">
        <f t="shared" si="5"/>
        <v>3</v>
      </c>
      <c r="AG48" s="9"/>
      <c r="AH48" s="14">
        <f t="shared" si="6"/>
        <v>2</v>
      </c>
      <c r="AI48" s="9"/>
      <c r="AJ48" s="14">
        <f t="shared" si="7"/>
        <v>3</v>
      </c>
      <c r="AK48" s="9"/>
      <c r="AL48" s="19" t="s">
        <v>82</v>
      </c>
      <c r="AM48" s="15">
        <f t="shared" si="8"/>
        <v>2.595238095</v>
      </c>
      <c r="AN48" s="6">
        <v>89.86</v>
      </c>
    </row>
    <row r="49">
      <c r="A49" s="19" t="s">
        <v>83</v>
      </c>
      <c r="B49" s="16" t="s">
        <v>84</v>
      </c>
      <c r="C49" s="6">
        <v>4.0</v>
      </c>
      <c r="D49" s="6">
        <v>4.0</v>
      </c>
      <c r="E49" s="6">
        <v>4.0</v>
      </c>
      <c r="F49" s="6">
        <v>3.0</v>
      </c>
      <c r="G49" s="6">
        <v>4.0</v>
      </c>
      <c r="H49" s="6">
        <v>3.0</v>
      </c>
      <c r="I49" s="6">
        <v>5.0</v>
      </c>
      <c r="J49" s="6">
        <v>4.0</v>
      </c>
      <c r="K49" s="6">
        <v>5.0</v>
      </c>
      <c r="L49" s="6">
        <v>3.0</v>
      </c>
      <c r="M49" s="6">
        <v>4.0</v>
      </c>
      <c r="N49" s="6">
        <v>2.0</v>
      </c>
      <c r="O49" s="6">
        <v>3.0</v>
      </c>
      <c r="P49" s="6">
        <v>3.0</v>
      </c>
      <c r="Q49" s="6">
        <v>3.0</v>
      </c>
      <c r="R49" s="6">
        <v>3.0</v>
      </c>
      <c r="S49" s="6">
        <v>3.0</v>
      </c>
      <c r="T49" s="6">
        <v>3.0</v>
      </c>
      <c r="U49" s="6">
        <v>3.0</v>
      </c>
      <c r="V49" s="6">
        <v>4.0</v>
      </c>
      <c r="W49" s="7"/>
      <c r="X49" s="14">
        <f t="shared" si="1"/>
        <v>4</v>
      </c>
      <c r="Y49" s="9"/>
      <c r="Z49" s="14">
        <f t="shared" si="2"/>
        <v>3.8</v>
      </c>
      <c r="AA49" s="9"/>
      <c r="AB49" s="14">
        <f t="shared" si="3"/>
        <v>4.5</v>
      </c>
      <c r="AC49" s="9"/>
      <c r="AD49" s="14">
        <f t="shared" si="4"/>
        <v>3</v>
      </c>
      <c r="AE49" s="9"/>
      <c r="AF49" s="14">
        <f t="shared" si="5"/>
        <v>3</v>
      </c>
      <c r="AG49" s="9"/>
      <c r="AH49" s="14">
        <f t="shared" si="6"/>
        <v>3</v>
      </c>
      <c r="AI49" s="9"/>
      <c r="AJ49" s="14">
        <f t="shared" si="7"/>
        <v>3.333333333</v>
      </c>
      <c r="AK49" s="9"/>
      <c r="AL49" s="19" t="s">
        <v>83</v>
      </c>
      <c r="AM49" s="15">
        <f t="shared" si="8"/>
        <v>3.519047619</v>
      </c>
      <c r="AN49" s="16" t="s">
        <v>84</v>
      </c>
    </row>
    <row r="50">
      <c r="A50" s="19" t="s">
        <v>85</v>
      </c>
      <c r="B50" s="16" t="s">
        <v>86</v>
      </c>
      <c r="C50" s="6">
        <v>4.0</v>
      </c>
      <c r="D50" s="6">
        <v>5.0</v>
      </c>
      <c r="E50" s="6">
        <v>4.0</v>
      </c>
      <c r="F50" s="6">
        <v>4.0</v>
      </c>
      <c r="G50" s="6">
        <v>4.0</v>
      </c>
      <c r="H50" s="6">
        <v>1.0</v>
      </c>
      <c r="I50" s="6">
        <v>3.0</v>
      </c>
      <c r="J50" s="6">
        <v>2.0</v>
      </c>
      <c r="K50" s="6">
        <v>3.0</v>
      </c>
      <c r="L50" s="6">
        <v>1.0</v>
      </c>
      <c r="M50" s="6">
        <v>2.0</v>
      </c>
      <c r="N50" s="6">
        <v>4.0</v>
      </c>
      <c r="O50" s="6">
        <v>4.0</v>
      </c>
      <c r="P50" s="6">
        <v>2.0</v>
      </c>
      <c r="Q50" s="6">
        <v>5.0</v>
      </c>
      <c r="R50" s="6">
        <v>3.0</v>
      </c>
      <c r="S50" s="6">
        <v>3.0</v>
      </c>
      <c r="T50" s="6">
        <v>2.0</v>
      </c>
      <c r="U50" s="6">
        <v>4.0</v>
      </c>
      <c r="V50" s="6">
        <v>1.0</v>
      </c>
      <c r="W50" s="7"/>
      <c r="X50" s="14">
        <f t="shared" si="1"/>
        <v>4.5</v>
      </c>
      <c r="Y50" s="9"/>
      <c r="Z50" s="14">
        <f t="shared" si="2"/>
        <v>3.2</v>
      </c>
      <c r="AA50" s="9"/>
      <c r="AB50" s="14">
        <f t="shared" si="3"/>
        <v>2.5</v>
      </c>
      <c r="AC50" s="9"/>
      <c r="AD50" s="14">
        <f t="shared" si="4"/>
        <v>2.333333333</v>
      </c>
      <c r="AE50" s="9"/>
      <c r="AF50" s="14">
        <f t="shared" si="5"/>
        <v>3</v>
      </c>
      <c r="AG50" s="9"/>
      <c r="AH50" s="14">
        <f t="shared" si="6"/>
        <v>3.666666667</v>
      </c>
      <c r="AI50" s="9"/>
      <c r="AJ50" s="14">
        <f t="shared" si="7"/>
        <v>2.333333333</v>
      </c>
      <c r="AK50" s="9"/>
      <c r="AL50" s="19" t="s">
        <v>85</v>
      </c>
      <c r="AM50" s="15">
        <f t="shared" si="8"/>
        <v>3.076190476</v>
      </c>
      <c r="AN50" s="16" t="s">
        <v>86</v>
      </c>
    </row>
    <row r="51">
      <c r="A51" s="21" t="s">
        <v>87</v>
      </c>
      <c r="B51" s="16">
        <v>85.67</v>
      </c>
      <c r="C51" s="6">
        <v>1.0</v>
      </c>
      <c r="D51" s="6">
        <v>5.0</v>
      </c>
      <c r="E51" s="6">
        <v>1.0</v>
      </c>
      <c r="F51" s="6">
        <v>5.0</v>
      </c>
      <c r="G51" s="6">
        <v>1.0</v>
      </c>
      <c r="H51" s="6">
        <v>5.0</v>
      </c>
      <c r="I51" s="6">
        <v>1.0</v>
      </c>
      <c r="J51" s="6">
        <v>5.0</v>
      </c>
      <c r="K51" s="6">
        <v>1.0</v>
      </c>
      <c r="L51" s="6">
        <v>5.0</v>
      </c>
      <c r="M51" s="6">
        <v>1.0</v>
      </c>
      <c r="N51" s="6">
        <v>5.0</v>
      </c>
      <c r="O51" s="6">
        <v>1.0</v>
      </c>
      <c r="P51" s="6">
        <v>5.0</v>
      </c>
      <c r="Q51" s="6">
        <v>1.0</v>
      </c>
      <c r="R51" s="6">
        <v>5.0</v>
      </c>
      <c r="S51" s="6">
        <v>1.0</v>
      </c>
      <c r="T51" s="6">
        <v>5.0</v>
      </c>
      <c r="U51" s="6">
        <v>1.0</v>
      </c>
      <c r="V51" s="6">
        <v>5.0</v>
      </c>
      <c r="W51" s="7"/>
      <c r="X51" s="14">
        <f t="shared" si="1"/>
        <v>3</v>
      </c>
      <c r="Y51" s="9"/>
      <c r="Z51" s="14">
        <f t="shared" si="2"/>
        <v>2.6</v>
      </c>
      <c r="AA51" s="9"/>
      <c r="AB51" s="14">
        <f t="shared" si="3"/>
        <v>3</v>
      </c>
      <c r="AC51" s="9"/>
      <c r="AD51" s="14">
        <f t="shared" si="4"/>
        <v>3.666666667</v>
      </c>
      <c r="AE51" s="9"/>
      <c r="AF51" s="14">
        <f t="shared" si="5"/>
        <v>3</v>
      </c>
      <c r="AG51" s="9"/>
      <c r="AH51" s="14">
        <f t="shared" si="6"/>
        <v>2.333333333</v>
      </c>
      <c r="AI51" s="9"/>
      <c r="AJ51" s="14">
        <f t="shared" si="7"/>
        <v>3.666666667</v>
      </c>
      <c r="AK51" s="9"/>
      <c r="AL51" s="21" t="s">
        <v>87</v>
      </c>
      <c r="AM51" s="15">
        <f t="shared" si="8"/>
        <v>3.038095238</v>
      </c>
      <c r="AN51" s="16">
        <v>85.67</v>
      </c>
    </row>
    <row r="52">
      <c r="A52" s="21" t="s">
        <v>88</v>
      </c>
      <c r="B52" s="16" t="s">
        <v>89</v>
      </c>
      <c r="C52" s="6">
        <v>5.0</v>
      </c>
      <c r="D52" s="6">
        <v>4.0</v>
      </c>
      <c r="E52" s="6">
        <v>5.0</v>
      </c>
      <c r="F52" s="6">
        <v>4.0</v>
      </c>
      <c r="G52" s="6">
        <v>5.0</v>
      </c>
      <c r="H52" s="6">
        <v>1.0</v>
      </c>
      <c r="I52" s="6">
        <v>5.0</v>
      </c>
      <c r="J52" s="6">
        <v>4.0</v>
      </c>
      <c r="K52" s="6">
        <v>2.0</v>
      </c>
      <c r="L52" s="6">
        <v>4.0</v>
      </c>
      <c r="M52" s="6">
        <v>5.0</v>
      </c>
      <c r="N52" s="6">
        <v>5.0</v>
      </c>
      <c r="O52" s="6">
        <v>4.0</v>
      </c>
      <c r="P52" s="6">
        <v>1.0</v>
      </c>
      <c r="Q52" s="6">
        <v>3.0</v>
      </c>
      <c r="R52" s="6">
        <v>4.0</v>
      </c>
      <c r="S52" s="6">
        <v>5.0</v>
      </c>
      <c r="T52" s="6">
        <v>1.0</v>
      </c>
      <c r="U52" s="6">
        <v>3.0</v>
      </c>
      <c r="V52" s="6">
        <v>4.0</v>
      </c>
      <c r="W52" s="7"/>
      <c r="X52" s="14">
        <f t="shared" si="1"/>
        <v>4.5</v>
      </c>
      <c r="Y52" s="9"/>
      <c r="Z52" s="14">
        <f t="shared" si="2"/>
        <v>4</v>
      </c>
      <c r="AA52" s="9"/>
      <c r="AB52" s="14">
        <f t="shared" si="3"/>
        <v>3</v>
      </c>
      <c r="AC52" s="9"/>
      <c r="AD52" s="14">
        <f t="shared" si="4"/>
        <v>4.666666667</v>
      </c>
      <c r="AE52" s="9"/>
      <c r="AF52" s="14">
        <f t="shared" si="5"/>
        <v>2.5</v>
      </c>
      <c r="AG52" s="9"/>
      <c r="AH52" s="14">
        <f t="shared" si="6"/>
        <v>4</v>
      </c>
      <c r="AI52" s="9"/>
      <c r="AJ52" s="14">
        <f t="shared" si="7"/>
        <v>2.666666667</v>
      </c>
      <c r="AK52" s="9"/>
      <c r="AL52" s="21" t="s">
        <v>88</v>
      </c>
      <c r="AM52" s="15">
        <f t="shared" si="8"/>
        <v>3.619047619</v>
      </c>
      <c r="AN52" s="16" t="s">
        <v>89</v>
      </c>
    </row>
    <row r="53">
      <c r="A53" s="21" t="s">
        <v>90</v>
      </c>
      <c r="B53" s="6">
        <v>80.5</v>
      </c>
      <c r="C53" s="6">
        <v>3.0</v>
      </c>
      <c r="D53" s="6">
        <v>4.0</v>
      </c>
      <c r="E53" s="6">
        <v>3.0</v>
      </c>
      <c r="F53" s="6">
        <v>2.0</v>
      </c>
      <c r="G53" s="6">
        <v>4.0</v>
      </c>
      <c r="H53" s="6">
        <v>3.0</v>
      </c>
      <c r="I53" s="6">
        <v>5.0</v>
      </c>
      <c r="J53" s="6">
        <v>3.0</v>
      </c>
      <c r="K53" s="6">
        <v>2.0</v>
      </c>
      <c r="L53" s="6">
        <v>3.0</v>
      </c>
      <c r="M53" s="6">
        <v>2.0</v>
      </c>
      <c r="N53" s="6">
        <v>4.0</v>
      </c>
      <c r="O53" s="6">
        <v>3.0</v>
      </c>
      <c r="P53" s="6">
        <v>3.0</v>
      </c>
      <c r="Q53" s="6">
        <v>3.0</v>
      </c>
      <c r="R53" s="6">
        <v>2.0</v>
      </c>
      <c r="S53" s="6">
        <v>5.0</v>
      </c>
      <c r="T53" s="6">
        <v>3.0</v>
      </c>
      <c r="U53" s="6">
        <v>5.0</v>
      </c>
      <c r="V53" s="6">
        <v>4.0</v>
      </c>
      <c r="W53" s="7"/>
      <c r="X53" s="14">
        <f t="shared" si="1"/>
        <v>3.5</v>
      </c>
      <c r="Y53" s="9"/>
      <c r="Z53" s="14">
        <f t="shared" si="2"/>
        <v>3.4</v>
      </c>
      <c r="AA53" s="9"/>
      <c r="AB53" s="14">
        <f t="shared" si="3"/>
        <v>2.5</v>
      </c>
      <c r="AC53" s="9"/>
      <c r="AD53" s="14">
        <f t="shared" si="4"/>
        <v>3</v>
      </c>
      <c r="AE53" s="9"/>
      <c r="AF53" s="14">
        <f t="shared" si="5"/>
        <v>3</v>
      </c>
      <c r="AG53" s="9"/>
      <c r="AH53" s="14">
        <f t="shared" si="6"/>
        <v>3.333333333</v>
      </c>
      <c r="AI53" s="9"/>
      <c r="AJ53" s="14">
        <f t="shared" si="7"/>
        <v>4</v>
      </c>
      <c r="AK53" s="9"/>
      <c r="AL53" s="21" t="s">
        <v>90</v>
      </c>
      <c r="AM53" s="15">
        <f t="shared" si="8"/>
        <v>3.247619048</v>
      </c>
      <c r="AN53" s="6">
        <v>80.5</v>
      </c>
    </row>
    <row r="54">
      <c r="A54" s="22" t="s">
        <v>91</v>
      </c>
      <c r="B54" s="16" t="s">
        <v>92</v>
      </c>
      <c r="C54" s="6">
        <v>4.0</v>
      </c>
      <c r="D54" s="6">
        <v>2.0</v>
      </c>
      <c r="E54" s="6">
        <v>4.0</v>
      </c>
      <c r="F54" s="6">
        <v>3.0</v>
      </c>
      <c r="G54" s="6">
        <v>4.0</v>
      </c>
      <c r="H54" s="6">
        <v>1.0</v>
      </c>
      <c r="I54" s="6">
        <v>5.0</v>
      </c>
      <c r="J54" s="6">
        <v>3.0</v>
      </c>
      <c r="K54" s="6">
        <v>2.0</v>
      </c>
      <c r="L54" s="6">
        <v>4.0</v>
      </c>
      <c r="M54" s="6">
        <v>4.0</v>
      </c>
      <c r="N54" s="6">
        <v>2.0</v>
      </c>
      <c r="O54" s="6">
        <v>5.0</v>
      </c>
      <c r="P54" s="6">
        <v>2.0</v>
      </c>
      <c r="Q54" s="6">
        <v>5.0</v>
      </c>
      <c r="R54" s="6">
        <v>3.0</v>
      </c>
      <c r="S54" s="6">
        <v>5.0</v>
      </c>
      <c r="T54" s="6">
        <v>3.0</v>
      </c>
      <c r="U54" s="6">
        <v>4.0</v>
      </c>
      <c r="V54" s="6">
        <v>3.0</v>
      </c>
      <c r="W54" s="7"/>
      <c r="X54" s="14">
        <f t="shared" si="1"/>
        <v>3</v>
      </c>
      <c r="Y54" s="9"/>
      <c r="Z54" s="14">
        <f t="shared" si="2"/>
        <v>3.4</v>
      </c>
      <c r="AA54" s="9"/>
      <c r="AB54" s="14">
        <f t="shared" si="3"/>
        <v>2.5</v>
      </c>
      <c r="AC54" s="9"/>
      <c r="AD54" s="14">
        <f t="shared" si="4"/>
        <v>3.333333333</v>
      </c>
      <c r="AE54" s="9"/>
      <c r="AF54" s="14">
        <f t="shared" si="5"/>
        <v>3.5</v>
      </c>
      <c r="AG54" s="9"/>
      <c r="AH54" s="14">
        <f t="shared" si="6"/>
        <v>4.333333333</v>
      </c>
      <c r="AI54" s="9"/>
      <c r="AJ54" s="14">
        <f t="shared" si="7"/>
        <v>3.333333333</v>
      </c>
      <c r="AK54" s="9"/>
      <c r="AL54" s="22" t="s">
        <v>91</v>
      </c>
      <c r="AM54" s="15">
        <f t="shared" si="8"/>
        <v>3.342857143</v>
      </c>
      <c r="AN54" s="16" t="s">
        <v>92</v>
      </c>
    </row>
    <row r="55">
      <c r="A55" s="21" t="s">
        <v>93</v>
      </c>
      <c r="B55" s="16" t="s">
        <v>94</v>
      </c>
      <c r="C55" s="6">
        <v>3.0</v>
      </c>
      <c r="D55" s="6">
        <v>4.0</v>
      </c>
      <c r="E55" s="6">
        <v>4.0</v>
      </c>
      <c r="F55" s="6">
        <v>2.0</v>
      </c>
      <c r="G55" s="6">
        <v>2.0</v>
      </c>
      <c r="H55" s="6">
        <v>3.0</v>
      </c>
      <c r="I55" s="6">
        <v>4.0</v>
      </c>
      <c r="J55" s="6">
        <v>4.0</v>
      </c>
      <c r="K55" s="6">
        <v>1.0</v>
      </c>
      <c r="L55" s="6">
        <v>3.0</v>
      </c>
      <c r="M55" s="6">
        <v>1.0</v>
      </c>
      <c r="N55" s="6">
        <v>3.0</v>
      </c>
      <c r="O55" s="6">
        <v>2.0</v>
      </c>
      <c r="P55" s="6">
        <v>2.0</v>
      </c>
      <c r="Q55" s="6">
        <v>3.0</v>
      </c>
      <c r="R55" s="6">
        <v>3.0</v>
      </c>
      <c r="S55" s="6">
        <v>2.0</v>
      </c>
      <c r="T55" s="6">
        <v>4.0</v>
      </c>
      <c r="U55" s="6">
        <v>2.0</v>
      </c>
      <c r="V55" s="6">
        <v>4.0</v>
      </c>
      <c r="W55" s="7"/>
      <c r="X55" s="14">
        <f t="shared" si="1"/>
        <v>3.5</v>
      </c>
      <c r="Y55" s="9"/>
      <c r="Z55" s="14">
        <f t="shared" si="2"/>
        <v>3</v>
      </c>
      <c r="AA55" s="9"/>
      <c r="AB55" s="14">
        <f t="shared" si="3"/>
        <v>2.5</v>
      </c>
      <c r="AC55" s="9"/>
      <c r="AD55" s="14">
        <f t="shared" si="4"/>
        <v>2.333333333</v>
      </c>
      <c r="AE55" s="9"/>
      <c r="AF55" s="14">
        <f t="shared" si="5"/>
        <v>2</v>
      </c>
      <c r="AG55" s="9"/>
      <c r="AH55" s="14">
        <f t="shared" si="6"/>
        <v>2.666666667</v>
      </c>
      <c r="AI55" s="9"/>
      <c r="AJ55" s="14">
        <f t="shared" si="7"/>
        <v>3.333333333</v>
      </c>
      <c r="AK55" s="9"/>
      <c r="AL55" s="21" t="s">
        <v>93</v>
      </c>
      <c r="AM55" s="15">
        <f t="shared" si="8"/>
        <v>2.761904762</v>
      </c>
      <c r="AN55" s="16" t="s">
        <v>94</v>
      </c>
    </row>
    <row r="56">
      <c r="A56" s="21" t="s">
        <v>95</v>
      </c>
      <c r="B56" s="16" t="s">
        <v>96</v>
      </c>
      <c r="C56" s="6">
        <v>3.0</v>
      </c>
      <c r="D56" s="6">
        <v>4.0</v>
      </c>
      <c r="E56" s="6">
        <v>4.0</v>
      </c>
      <c r="F56" s="6">
        <v>4.0</v>
      </c>
      <c r="G56" s="6">
        <v>3.0</v>
      </c>
      <c r="H56" s="6">
        <v>2.0</v>
      </c>
      <c r="I56" s="6">
        <v>3.0</v>
      </c>
      <c r="J56" s="6">
        <v>4.0</v>
      </c>
      <c r="K56" s="6">
        <v>1.0</v>
      </c>
      <c r="L56" s="6">
        <v>4.0</v>
      </c>
      <c r="M56" s="6">
        <v>4.0</v>
      </c>
      <c r="N56" s="6">
        <v>3.0</v>
      </c>
      <c r="O56" s="6">
        <v>4.0</v>
      </c>
      <c r="P56" s="6">
        <v>2.0</v>
      </c>
      <c r="Q56" s="6">
        <v>4.0</v>
      </c>
      <c r="R56" s="6">
        <v>2.0</v>
      </c>
      <c r="S56" s="6">
        <v>3.0</v>
      </c>
      <c r="T56" s="6">
        <v>2.0</v>
      </c>
      <c r="U56" s="6">
        <v>4.0</v>
      </c>
      <c r="V56" s="6">
        <v>5.0</v>
      </c>
      <c r="W56" s="7"/>
      <c r="X56" s="14">
        <f t="shared" si="1"/>
        <v>3.5</v>
      </c>
      <c r="Y56" s="9"/>
      <c r="Z56" s="14">
        <f t="shared" si="2"/>
        <v>3.2</v>
      </c>
      <c r="AA56" s="9"/>
      <c r="AB56" s="14">
        <f t="shared" si="3"/>
        <v>2.5</v>
      </c>
      <c r="AC56" s="9"/>
      <c r="AD56" s="14">
        <f t="shared" si="4"/>
        <v>3.666666667</v>
      </c>
      <c r="AE56" s="9"/>
      <c r="AF56" s="14">
        <f t="shared" si="5"/>
        <v>3</v>
      </c>
      <c r="AG56" s="9"/>
      <c r="AH56" s="14">
        <f t="shared" si="6"/>
        <v>3</v>
      </c>
      <c r="AI56" s="9"/>
      <c r="AJ56" s="14">
        <f t="shared" si="7"/>
        <v>3.666666667</v>
      </c>
      <c r="AK56" s="9"/>
      <c r="AL56" s="21" t="s">
        <v>95</v>
      </c>
      <c r="AM56" s="15">
        <f t="shared" si="8"/>
        <v>3.219047619</v>
      </c>
      <c r="AN56" s="16" t="s">
        <v>96</v>
      </c>
    </row>
    <row r="57">
      <c r="A57" s="21" t="s">
        <v>97</v>
      </c>
      <c r="B57" s="16" t="s">
        <v>98</v>
      </c>
      <c r="C57" s="6">
        <v>5.0</v>
      </c>
      <c r="D57" s="6">
        <v>3.0</v>
      </c>
      <c r="E57" s="6">
        <v>2.0</v>
      </c>
      <c r="F57" s="6">
        <v>3.0</v>
      </c>
      <c r="G57" s="6">
        <v>3.0</v>
      </c>
      <c r="H57" s="6">
        <v>3.0</v>
      </c>
      <c r="I57" s="6">
        <v>3.0</v>
      </c>
      <c r="J57" s="6">
        <v>5.0</v>
      </c>
      <c r="K57" s="6">
        <v>3.0</v>
      </c>
      <c r="L57" s="6">
        <v>4.0</v>
      </c>
      <c r="M57" s="6">
        <v>3.0</v>
      </c>
      <c r="N57" s="6">
        <v>3.0</v>
      </c>
      <c r="O57" s="6">
        <v>3.0</v>
      </c>
      <c r="P57" s="6">
        <v>2.0</v>
      </c>
      <c r="Q57" s="6">
        <v>3.0</v>
      </c>
      <c r="R57" s="6">
        <v>3.0</v>
      </c>
      <c r="S57" s="6">
        <v>2.0</v>
      </c>
      <c r="T57" s="6">
        <v>3.0</v>
      </c>
      <c r="U57" s="6">
        <v>3.0</v>
      </c>
      <c r="V57" s="6">
        <v>3.0</v>
      </c>
      <c r="W57" s="7"/>
      <c r="X57" s="14">
        <f t="shared" si="1"/>
        <v>4</v>
      </c>
      <c r="Y57" s="9"/>
      <c r="Z57" s="14">
        <f t="shared" si="2"/>
        <v>2.8</v>
      </c>
      <c r="AA57" s="9"/>
      <c r="AB57" s="14">
        <f t="shared" si="3"/>
        <v>4</v>
      </c>
      <c r="AC57" s="9"/>
      <c r="AD57" s="14">
        <f t="shared" si="4"/>
        <v>3.333333333</v>
      </c>
      <c r="AE57" s="9"/>
      <c r="AF57" s="14">
        <f t="shared" si="5"/>
        <v>2.5</v>
      </c>
      <c r="AG57" s="9"/>
      <c r="AH57" s="14">
        <f t="shared" si="6"/>
        <v>2.666666667</v>
      </c>
      <c r="AI57" s="9"/>
      <c r="AJ57" s="14">
        <f t="shared" si="7"/>
        <v>3</v>
      </c>
      <c r="AK57" s="9"/>
      <c r="AL57" s="21" t="s">
        <v>97</v>
      </c>
      <c r="AM57" s="15">
        <f t="shared" si="8"/>
        <v>3.185714286</v>
      </c>
      <c r="AN57" s="16" t="s">
        <v>98</v>
      </c>
    </row>
    <row r="58">
      <c r="A58" s="21" t="s">
        <v>99</v>
      </c>
      <c r="B58" s="6">
        <v>94.5</v>
      </c>
      <c r="C58" s="6">
        <v>5.0</v>
      </c>
      <c r="D58" s="6">
        <v>5.0</v>
      </c>
      <c r="E58" s="6">
        <v>5.0</v>
      </c>
      <c r="F58" s="6">
        <v>3.0</v>
      </c>
      <c r="G58" s="6">
        <v>4.0</v>
      </c>
      <c r="H58" s="6">
        <v>5.0</v>
      </c>
      <c r="I58" s="6">
        <v>4.0</v>
      </c>
      <c r="J58" s="6">
        <v>3.0</v>
      </c>
      <c r="K58" s="6">
        <v>5.0</v>
      </c>
      <c r="L58" s="6">
        <v>4.0</v>
      </c>
      <c r="M58" s="6">
        <v>5.0</v>
      </c>
      <c r="N58" s="6">
        <v>2.0</v>
      </c>
      <c r="O58" s="6">
        <v>5.0</v>
      </c>
      <c r="P58" s="6">
        <v>3.0</v>
      </c>
      <c r="Q58" s="6">
        <v>4.0</v>
      </c>
      <c r="R58" s="6">
        <v>3.0</v>
      </c>
      <c r="S58" s="6">
        <v>4.0</v>
      </c>
      <c r="T58" s="6">
        <v>4.0</v>
      </c>
      <c r="U58" s="6">
        <v>4.0</v>
      </c>
      <c r="V58" s="6">
        <v>5.0</v>
      </c>
      <c r="W58" s="7"/>
      <c r="X58" s="14">
        <f t="shared" si="1"/>
        <v>5</v>
      </c>
      <c r="Y58" s="9"/>
      <c r="Z58" s="14">
        <f t="shared" si="2"/>
        <v>4.2</v>
      </c>
      <c r="AA58" s="9"/>
      <c r="AB58" s="14">
        <f t="shared" si="3"/>
        <v>4</v>
      </c>
      <c r="AC58" s="9"/>
      <c r="AD58" s="14">
        <f t="shared" si="4"/>
        <v>3.666666667</v>
      </c>
      <c r="AE58" s="9"/>
      <c r="AF58" s="14">
        <f t="shared" si="5"/>
        <v>4</v>
      </c>
      <c r="AG58" s="9"/>
      <c r="AH58" s="14">
        <f t="shared" si="6"/>
        <v>3.666666667</v>
      </c>
      <c r="AI58" s="9"/>
      <c r="AJ58" s="14">
        <f t="shared" si="7"/>
        <v>4.333333333</v>
      </c>
      <c r="AK58" s="9"/>
      <c r="AL58" s="21" t="s">
        <v>99</v>
      </c>
      <c r="AM58" s="15">
        <f t="shared" si="8"/>
        <v>4.123809524</v>
      </c>
      <c r="AN58" s="6">
        <v>94.5</v>
      </c>
    </row>
    <row r="59">
      <c r="A59" s="21" t="s">
        <v>100</v>
      </c>
      <c r="B59" s="16" t="s">
        <v>101</v>
      </c>
      <c r="C59" s="6">
        <v>5.0</v>
      </c>
      <c r="D59" s="6">
        <v>3.0</v>
      </c>
      <c r="E59" s="6">
        <v>3.0</v>
      </c>
      <c r="F59" s="6">
        <v>3.0</v>
      </c>
      <c r="G59" s="6">
        <v>3.0</v>
      </c>
      <c r="H59" s="6">
        <v>3.0</v>
      </c>
      <c r="I59" s="6">
        <v>3.0</v>
      </c>
      <c r="J59" s="6">
        <v>5.0</v>
      </c>
      <c r="K59" s="6">
        <v>3.0</v>
      </c>
      <c r="L59" s="6">
        <v>4.0</v>
      </c>
      <c r="M59" s="6">
        <v>3.0</v>
      </c>
      <c r="N59" s="6">
        <v>3.0</v>
      </c>
      <c r="O59" s="6">
        <v>4.0</v>
      </c>
      <c r="P59" s="6">
        <v>3.0</v>
      </c>
      <c r="Q59" s="6">
        <v>3.0</v>
      </c>
      <c r="R59" s="6">
        <v>2.0</v>
      </c>
      <c r="S59" s="6">
        <v>4.0</v>
      </c>
      <c r="T59" s="6">
        <v>3.0</v>
      </c>
      <c r="U59" s="6">
        <v>3.0</v>
      </c>
      <c r="V59" s="6">
        <v>3.0</v>
      </c>
      <c r="W59" s="7"/>
      <c r="X59" s="14">
        <f t="shared" si="1"/>
        <v>4</v>
      </c>
      <c r="Y59" s="9"/>
      <c r="Z59" s="14">
        <f t="shared" si="2"/>
        <v>3</v>
      </c>
      <c r="AA59" s="9"/>
      <c r="AB59" s="14">
        <f t="shared" si="3"/>
        <v>4</v>
      </c>
      <c r="AC59" s="9"/>
      <c r="AD59" s="14">
        <f t="shared" si="4"/>
        <v>3.333333333</v>
      </c>
      <c r="AE59" s="9"/>
      <c r="AF59" s="14">
        <f t="shared" si="5"/>
        <v>3.5</v>
      </c>
      <c r="AG59" s="9"/>
      <c r="AH59" s="14">
        <f t="shared" si="6"/>
        <v>3</v>
      </c>
      <c r="AI59" s="9"/>
      <c r="AJ59" s="14">
        <f t="shared" si="7"/>
        <v>3</v>
      </c>
      <c r="AK59" s="9"/>
      <c r="AL59" s="21" t="s">
        <v>100</v>
      </c>
      <c r="AM59" s="15">
        <f t="shared" si="8"/>
        <v>3.404761905</v>
      </c>
      <c r="AN59" s="16" t="s">
        <v>101</v>
      </c>
    </row>
    <row r="60">
      <c r="A60" s="21" t="s">
        <v>102</v>
      </c>
      <c r="B60" s="6">
        <v>86.5</v>
      </c>
      <c r="C60" s="6">
        <v>4.0</v>
      </c>
      <c r="D60" s="6">
        <v>3.0</v>
      </c>
      <c r="E60" s="6">
        <v>4.0</v>
      </c>
      <c r="F60" s="6">
        <v>4.0</v>
      </c>
      <c r="G60" s="6">
        <v>3.0</v>
      </c>
      <c r="H60" s="6">
        <v>1.0</v>
      </c>
      <c r="I60" s="6">
        <v>4.0</v>
      </c>
      <c r="J60" s="6">
        <v>5.0</v>
      </c>
      <c r="K60" s="6">
        <v>2.0</v>
      </c>
      <c r="L60" s="6">
        <v>4.0</v>
      </c>
      <c r="M60" s="6">
        <v>4.0</v>
      </c>
      <c r="N60" s="6">
        <v>3.0</v>
      </c>
      <c r="O60" s="6">
        <v>4.0</v>
      </c>
      <c r="P60" s="6">
        <v>3.0</v>
      </c>
      <c r="Q60" s="6">
        <v>3.0</v>
      </c>
      <c r="R60" s="6">
        <v>3.0</v>
      </c>
      <c r="S60" s="6">
        <v>5.0</v>
      </c>
      <c r="T60" s="6">
        <v>4.0</v>
      </c>
      <c r="U60" s="6">
        <v>4.0</v>
      </c>
      <c r="V60" s="6">
        <v>4.0</v>
      </c>
      <c r="W60" s="7"/>
      <c r="X60" s="14">
        <f t="shared" si="1"/>
        <v>3.5</v>
      </c>
      <c r="Y60" s="9"/>
      <c r="Z60" s="14">
        <f t="shared" si="2"/>
        <v>3.2</v>
      </c>
      <c r="AA60" s="9"/>
      <c r="AB60" s="14">
        <f t="shared" si="3"/>
        <v>3.5</v>
      </c>
      <c r="AC60" s="9"/>
      <c r="AD60" s="14">
        <f t="shared" si="4"/>
        <v>3.666666667</v>
      </c>
      <c r="AE60" s="9"/>
      <c r="AF60" s="14">
        <f t="shared" si="5"/>
        <v>3.5</v>
      </c>
      <c r="AG60" s="9"/>
      <c r="AH60" s="14">
        <f t="shared" si="6"/>
        <v>3.666666667</v>
      </c>
      <c r="AI60" s="9"/>
      <c r="AJ60" s="14">
        <f t="shared" si="7"/>
        <v>4</v>
      </c>
      <c r="AK60" s="9"/>
      <c r="AL60" s="21" t="s">
        <v>102</v>
      </c>
      <c r="AM60" s="15">
        <f t="shared" si="8"/>
        <v>3.576190476</v>
      </c>
      <c r="AN60" s="6">
        <v>86.5</v>
      </c>
    </row>
    <row r="61">
      <c r="A61" s="21" t="s">
        <v>103</v>
      </c>
      <c r="B61" s="16" t="s">
        <v>104</v>
      </c>
      <c r="C61" s="6">
        <v>3.0</v>
      </c>
      <c r="D61" s="6">
        <v>4.0</v>
      </c>
      <c r="E61" s="6">
        <v>4.0</v>
      </c>
      <c r="F61" s="6">
        <v>4.0</v>
      </c>
      <c r="G61" s="6">
        <v>3.0</v>
      </c>
      <c r="H61" s="6">
        <v>3.0</v>
      </c>
      <c r="I61" s="6">
        <v>4.0</v>
      </c>
      <c r="J61" s="6">
        <v>3.0</v>
      </c>
      <c r="K61" s="6">
        <v>5.0</v>
      </c>
      <c r="L61" s="6">
        <v>3.0</v>
      </c>
      <c r="M61" s="6">
        <v>4.0</v>
      </c>
      <c r="N61" s="6">
        <v>4.0</v>
      </c>
      <c r="O61" s="6">
        <v>3.0</v>
      </c>
      <c r="P61" s="6">
        <v>3.0</v>
      </c>
      <c r="Q61" s="6">
        <v>4.0</v>
      </c>
      <c r="R61" s="6">
        <v>3.0</v>
      </c>
      <c r="S61" s="6">
        <v>3.0</v>
      </c>
      <c r="T61" s="6">
        <v>4.0</v>
      </c>
      <c r="U61" s="6">
        <v>3.0</v>
      </c>
      <c r="V61" s="6">
        <v>4.0</v>
      </c>
      <c r="W61" s="7"/>
      <c r="X61" s="14">
        <f t="shared" si="1"/>
        <v>3.5</v>
      </c>
      <c r="Y61" s="9"/>
      <c r="Z61" s="14">
        <f t="shared" si="2"/>
        <v>3.6</v>
      </c>
      <c r="AA61" s="9"/>
      <c r="AB61" s="14">
        <f t="shared" si="3"/>
        <v>4</v>
      </c>
      <c r="AC61" s="9"/>
      <c r="AD61" s="14">
        <f t="shared" si="4"/>
        <v>3.666666667</v>
      </c>
      <c r="AE61" s="9"/>
      <c r="AF61" s="14">
        <f t="shared" si="5"/>
        <v>3</v>
      </c>
      <c r="AG61" s="9"/>
      <c r="AH61" s="14">
        <f t="shared" si="6"/>
        <v>3.333333333</v>
      </c>
      <c r="AI61" s="9"/>
      <c r="AJ61" s="14">
        <f t="shared" si="7"/>
        <v>3.666666667</v>
      </c>
      <c r="AK61" s="9"/>
      <c r="AL61" s="21" t="s">
        <v>103</v>
      </c>
      <c r="AM61" s="15">
        <f t="shared" si="8"/>
        <v>3.538095238</v>
      </c>
      <c r="AN61" s="16" t="s">
        <v>104</v>
      </c>
    </row>
    <row r="62">
      <c r="A62" s="21" t="s">
        <v>105</v>
      </c>
      <c r="B62" s="16" t="s">
        <v>106</v>
      </c>
      <c r="C62" s="6">
        <v>3.0</v>
      </c>
      <c r="D62" s="6">
        <v>3.0</v>
      </c>
      <c r="E62" s="6">
        <v>4.0</v>
      </c>
      <c r="F62" s="6">
        <v>3.0</v>
      </c>
      <c r="G62" s="6">
        <v>3.0</v>
      </c>
      <c r="H62" s="6">
        <v>3.0</v>
      </c>
      <c r="I62" s="6">
        <v>3.0</v>
      </c>
      <c r="J62" s="6">
        <v>3.0</v>
      </c>
      <c r="K62" s="6">
        <v>4.0</v>
      </c>
      <c r="L62" s="6">
        <v>4.0</v>
      </c>
      <c r="M62" s="6">
        <v>3.0</v>
      </c>
      <c r="N62" s="6">
        <v>3.0</v>
      </c>
      <c r="O62" s="6">
        <v>3.0</v>
      </c>
      <c r="P62" s="6">
        <v>3.0</v>
      </c>
      <c r="Q62" s="6">
        <v>3.0</v>
      </c>
      <c r="R62" s="6">
        <v>3.0</v>
      </c>
      <c r="S62" s="6">
        <v>3.0</v>
      </c>
      <c r="T62" s="6">
        <v>3.0</v>
      </c>
      <c r="U62" s="6">
        <v>3.0</v>
      </c>
      <c r="V62" s="6">
        <v>3.0</v>
      </c>
      <c r="W62" s="7"/>
      <c r="X62" s="14">
        <f t="shared" si="1"/>
        <v>3</v>
      </c>
      <c r="Y62" s="9"/>
      <c r="Z62" s="14">
        <f t="shared" si="2"/>
        <v>3.2</v>
      </c>
      <c r="AA62" s="9"/>
      <c r="AB62" s="14">
        <f t="shared" si="3"/>
        <v>3.5</v>
      </c>
      <c r="AC62" s="9"/>
      <c r="AD62" s="14">
        <f t="shared" si="4"/>
        <v>3.333333333</v>
      </c>
      <c r="AE62" s="9"/>
      <c r="AF62" s="14">
        <f t="shared" si="5"/>
        <v>3</v>
      </c>
      <c r="AG62" s="9"/>
      <c r="AH62" s="14">
        <f t="shared" si="6"/>
        <v>3</v>
      </c>
      <c r="AI62" s="9"/>
      <c r="AJ62" s="14">
        <f t="shared" si="7"/>
        <v>3</v>
      </c>
      <c r="AK62" s="9"/>
      <c r="AL62" s="21" t="s">
        <v>105</v>
      </c>
      <c r="AM62" s="15">
        <f t="shared" si="8"/>
        <v>3.147619048</v>
      </c>
      <c r="AN62" s="16" t="s">
        <v>106</v>
      </c>
    </row>
    <row r="63">
      <c r="A63" s="21" t="s">
        <v>107</v>
      </c>
      <c r="B63" s="6">
        <v>83.51</v>
      </c>
      <c r="C63" s="6">
        <v>4.0</v>
      </c>
      <c r="D63" s="6">
        <v>2.0</v>
      </c>
      <c r="E63" s="6">
        <v>2.0</v>
      </c>
      <c r="F63" s="6">
        <v>3.0</v>
      </c>
      <c r="G63" s="6">
        <v>2.0</v>
      </c>
      <c r="H63" s="6">
        <v>2.0</v>
      </c>
      <c r="I63" s="6">
        <v>3.0</v>
      </c>
      <c r="J63" s="6">
        <v>2.0</v>
      </c>
      <c r="K63" s="6">
        <v>1.0</v>
      </c>
      <c r="L63" s="6">
        <v>3.0</v>
      </c>
      <c r="M63" s="6">
        <v>3.0</v>
      </c>
      <c r="N63" s="6">
        <v>1.0</v>
      </c>
      <c r="O63" s="6">
        <v>3.0</v>
      </c>
      <c r="P63" s="6">
        <v>2.0</v>
      </c>
      <c r="Q63" s="6">
        <v>3.0</v>
      </c>
      <c r="R63" s="6">
        <v>2.0</v>
      </c>
      <c r="S63" s="6">
        <v>5.0</v>
      </c>
      <c r="T63" s="6">
        <v>2.0</v>
      </c>
      <c r="U63" s="6">
        <v>3.0</v>
      </c>
      <c r="V63" s="6">
        <v>2.0</v>
      </c>
      <c r="W63" s="7"/>
      <c r="X63" s="14">
        <f t="shared" si="1"/>
        <v>3</v>
      </c>
      <c r="Y63" s="9"/>
      <c r="Z63" s="14">
        <f t="shared" si="2"/>
        <v>2.4</v>
      </c>
      <c r="AA63" s="9"/>
      <c r="AB63" s="14">
        <f t="shared" si="3"/>
        <v>1.5</v>
      </c>
      <c r="AC63" s="9"/>
      <c r="AD63" s="14">
        <f t="shared" si="4"/>
        <v>2.333333333</v>
      </c>
      <c r="AE63" s="9"/>
      <c r="AF63" s="14">
        <f t="shared" si="5"/>
        <v>2.5</v>
      </c>
      <c r="AG63" s="9"/>
      <c r="AH63" s="14">
        <f t="shared" si="6"/>
        <v>3.333333333</v>
      </c>
      <c r="AI63" s="9"/>
      <c r="AJ63" s="14">
        <f t="shared" si="7"/>
        <v>2.333333333</v>
      </c>
      <c r="AK63" s="9"/>
      <c r="AL63" s="21" t="s">
        <v>107</v>
      </c>
      <c r="AM63" s="15">
        <f t="shared" si="8"/>
        <v>2.485714286</v>
      </c>
      <c r="AN63" s="6">
        <v>83.51</v>
      </c>
    </row>
    <row r="64">
      <c r="A64" s="21" t="s">
        <v>108</v>
      </c>
      <c r="B64" s="16" t="s">
        <v>109</v>
      </c>
      <c r="C64" s="6">
        <v>3.0</v>
      </c>
      <c r="D64" s="6">
        <v>2.0</v>
      </c>
      <c r="E64" s="6">
        <v>1.0</v>
      </c>
      <c r="F64" s="6">
        <v>3.0</v>
      </c>
      <c r="G64" s="6">
        <v>1.0</v>
      </c>
      <c r="H64" s="6">
        <v>3.0</v>
      </c>
      <c r="I64" s="6">
        <v>3.0</v>
      </c>
      <c r="J64" s="6">
        <v>3.0</v>
      </c>
      <c r="K64" s="6">
        <v>1.0</v>
      </c>
      <c r="L64" s="6">
        <v>3.0</v>
      </c>
      <c r="M64" s="6">
        <v>2.0</v>
      </c>
      <c r="N64" s="6">
        <v>4.0</v>
      </c>
      <c r="O64" s="6">
        <v>3.0</v>
      </c>
      <c r="P64" s="6">
        <v>3.0</v>
      </c>
      <c r="Q64" s="6">
        <v>2.0</v>
      </c>
      <c r="R64" s="6">
        <v>3.0</v>
      </c>
      <c r="S64" s="6">
        <v>2.0</v>
      </c>
      <c r="T64" s="6">
        <v>3.0</v>
      </c>
      <c r="U64" s="6">
        <v>2.0</v>
      </c>
      <c r="V64" s="6">
        <v>4.0</v>
      </c>
      <c r="W64" s="7"/>
      <c r="X64" s="14">
        <f t="shared" si="1"/>
        <v>2.5</v>
      </c>
      <c r="Y64" s="9"/>
      <c r="Z64" s="14">
        <f t="shared" si="2"/>
        <v>2.2</v>
      </c>
      <c r="AA64" s="9"/>
      <c r="AB64" s="14">
        <f t="shared" si="3"/>
        <v>2</v>
      </c>
      <c r="AC64" s="9"/>
      <c r="AD64" s="14">
        <f t="shared" si="4"/>
        <v>3</v>
      </c>
      <c r="AE64" s="9"/>
      <c r="AF64" s="14">
        <f t="shared" si="5"/>
        <v>3</v>
      </c>
      <c r="AG64" s="9"/>
      <c r="AH64" s="14">
        <f t="shared" si="6"/>
        <v>2.333333333</v>
      </c>
      <c r="AI64" s="9"/>
      <c r="AJ64" s="14">
        <f t="shared" si="7"/>
        <v>3</v>
      </c>
      <c r="AK64" s="9"/>
      <c r="AL64" s="21" t="s">
        <v>108</v>
      </c>
      <c r="AM64" s="15">
        <f t="shared" si="8"/>
        <v>2.576190476</v>
      </c>
      <c r="AN64" s="16" t="s">
        <v>109</v>
      </c>
    </row>
    <row r="65">
      <c r="A65" s="21" t="s">
        <v>110</v>
      </c>
      <c r="B65" s="16">
        <v>86.67</v>
      </c>
      <c r="C65" s="6">
        <v>2.0</v>
      </c>
      <c r="D65" s="6">
        <v>5.0</v>
      </c>
      <c r="E65" s="6">
        <v>1.0</v>
      </c>
      <c r="F65" s="6">
        <v>1.0</v>
      </c>
      <c r="G65" s="6">
        <v>1.0</v>
      </c>
      <c r="H65" s="6">
        <v>2.0</v>
      </c>
      <c r="I65" s="6">
        <v>1.0</v>
      </c>
      <c r="J65" s="6">
        <v>1.0</v>
      </c>
      <c r="K65" s="6">
        <v>3.0</v>
      </c>
      <c r="L65" s="6">
        <v>1.0</v>
      </c>
      <c r="M65" s="6">
        <v>3.0</v>
      </c>
      <c r="N65" s="6">
        <v>1.0</v>
      </c>
      <c r="O65" s="6">
        <v>2.0</v>
      </c>
      <c r="P65" s="6">
        <v>2.0</v>
      </c>
      <c r="Q65" s="6">
        <v>4.0</v>
      </c>
      <c r="R65" s="6">
        <v>2.0</v>
      </c>
      <c r="S65" s="6">
        <v>4.0</v>
      </c>
      <c r="T65" s="6">
        <v>4.0</v>
      </c>
      <c r="U65" s="6">
        <v>3.0</v>
      </c>
      <c r="V65" s="6">
        <v>4.0</v>
      </c>
      <c r="W65" s="7"/>
      <c r="X65" s="14">
        <f t="shared" si="1"/>
        <v>3.5</v>
      </c>
      <c r="Y65" s="9"/>
      <c r="Z65" s="14">
        <f t="shared" si="2"/>
        <v>1.2</v>
      </c>
      <c r="AA65" s="9"/>
      <c r="AB65" s="14">
        <f t="shared" si="3"/>
        <v>2</v>
      </c>
      <c r="AC65" s="9"/>
      <c r="AD65" s="14">
        <f t="shared" si="4"/>
        <v>1.666666667</v>
      </c>
      <c r="AE65" s="9"/>
      <c r="AF65" s="14">
        <f t="shared" si="5"/>
        <v>2</v>
      </c>
      <c r="AG65" s="9"/>
      <c r="AH65" s="14">
        <f t="shared" si="6"/>
        <v>3.333333333</v>
      </c>
      <c r="AI65" s="9"/>
      <c r="AJ65" s="14">
        <f t="shared" si="7"/>
        <v>3.666666667</v>
      </c>
      <c r="AK65" s="9"/>
      <c r="AL65" s="21" t="s">
        <v>110</v>
      </c>
      <c r="AM65" s="15">
        <f t="shared" si="8"/>
        <v>2.480952381</v>
      </c>
      <c r="AN65" s="16">
        <v>86.67</v>
      </c>
    </row>
    <row r="66">
      <c r="A66" s="21" t="s">
        <v>111</v>
      </c>
      <c r="B66" s="6">
        <v>86.91</v>
      </c>
      <c r="C66" s="6">
        <v>2.0</v>
      </c>
      <c r="D66" s="6">
        <v>3.0</v>
      </c>
      <c r="E66" s="6">
        <v>2.0</v>
      </c>
      <c r="F66" s="6">
        <v>4.0</v>
      </c>
      <c r="G66" s="6">
        <v>2.0</v>
      </c>
      <c r="H66" s="6">
        <v>3.0</v>
      </c>
      <c r="I66" s="6">
        <v>3.0</v>
      </c>
      <c r="J66" s="6">
        <v>3.0</v>
      </c>
      <c r="K66" s="6">
        <v>1.0</v>
      </c>
      <c r="L66" s="6">
        <v>4.0</v>
      </c>
      <c r="M66" s="6">
        <v>3.0</v>
      </c>
      <c r="N66" s="6">
        <v>3.0</v>
      </c>
      <c r="O66" s="6">
        <v>3.0</v>
      </c>
      <c r="P66" s="6">
        <v>3.0</v>
      </c>
      <c r="Q66" s="6">
        <v>2.0</v>
      </c>
      <c r="R66" s="6">
        <v>3.0</v>
      </c>
      <c r="S66" s="6">
        <v>3.0</v>
      </c>
      <c r="T66" s="6">
        <v>3.0</v>
      </c>
      <c r="U66" s="6">
        <v>3.0</v>
      </c>
      <c r="V66" s="6">
        <v>3.0</v>
      </c>
      <c r="W66" s="7"/>
      <c r="X66" s="14">
        <f t="shared" si="1"/>
        <v>2.5</v>
      </c>
      <c r="Y66" s="9"/>
      <c r="Z66" s="14">
        <f t="shared" si="2"/>
        <v>2.8</v>
      </c>
      <c r="AA66" s="9"/>
      <c r="AB66" s="14">
        <f t="shared" si="3"/>
        <v>2</v>
      </c>
      <c r="AC66" s="9"/>
      <c r="AD66" s="14">
        <f t="shared" si="4"/>
        <v>3.333333333</v>
      </c>
      <c r="AE66" s="9"/>
      <c r="AF66" s="14">
        <f t="shared" si="5"/>
        <v>3</v>
      </c>
      <c r="AG66" s="9"/>
      <c r="AH66" s="14">
        <f t="shared" si="6"/>
        <v>2.666666667</v>
      </c>
      <c r="AI66" s="9"/>
      <c r="AJ66" s="14">
        <f t="shared" si="7"/>
        <v>3</v>
      </c>
      <c r="AK66" s="9"/>
      <c r="AL66" s="21" t="s">
        <v>111</v>
      </c>
      <c r="AM66" s="15">
        <f t="shared" si="8"/>
        <v>2.757142857</v>
      </c>
      <c r="AN66" s="6">
        <v>86.91</v>
      </c>
    </row>
    <row r="67">
      <c r="A67" s="21" t="s">
        <v>112</v>
      </c>
      <c r="B67" s="6">
        <v>95.23</v>
      </c>
      <c r="C67" s="6">
        <v>4.0</v>
      </c>
      <c r="D67" s="6">
        <v>3.0</v>
      </c>
      <c r="E67" s="6">
        <v>3.0</v>
      </c>
      <c r="F67" s="6">
        <v>3.0</v>
      </c>
      <c r="G67" s="6">
        <v>3.0</v>
      </c>
      <c r="H67" s="6">
        <v>3.0</v>
      </c>
      <c r="I67" s="6">
        <v>3.0</v>
      </c>
      <c r="J67" s="6">
        <v>3.0</v>
      </c>
      <c r="K67" s="6">
        <v>1.0</v>
      </c>
      <c r="L67" s="6">
        <v>3.0</v>
      </c>
      <c r="M67" s="6">
        <v>3.0</v>
      </c>
      <c r="N67" s="6">
        <v>3.0</v>
      </c>
      <c r="O67" s="6">
        <v>4.0</v>
      </c>
      <c r="P67" s="6">
        <v>3.0</v>
      </c>
      <c r="Q67" s="6">
        <v>3.0</v>
      </c>
      <c r="R67" s="6">
        <v>3.0</v>
      </c>
      <c r="S67" s="6">
        <v>3.0</v>
      </c>
      <c r="T67" s="6">
        <v>3.0</v>
      </c>
      <c r="U67" s="6">
        <v>3.0</v>
      </c>
      <c r="V67" s="6">
        <v>3.0</v>
      </c>
      <c r="W67" s="7"/>
      <c r="X67" s="14">
        <f t="shared" si="1"/>
        <v>3.5</v>
      </c>
      <c r="Y67" s="9"/>
      <c r="Z67" s="14">
        <f t="shared" si="2"/>
        <v>3</v>
      </c>
      <c r="AA67" s="9"/>
      <c r="AB67" s="14">
        <f t="shared" si="3"/>
        <v>2</v>
      </c>
      <c r="AC67" s="9"/>
      <c r="AD67" s="14">
        <f t="shared" si="4"/>
        <v>3</v>
      </c>
      <c r="AE67" s="9"/>
      <c r="AF67" s="14">
        <f t="shared" si="5"/>
        <v>3.5</v>
      </c>
      <c r="AG67" s="9"/>
      <c r="AH67" s="14">
        <f t="shared" si="6"/>
        <v>3</v>
      </c>
      <c r="AI67" s="9"/>
      <c r="AJ67" s="14">
        <f t="shared" si="7"/>
        <v>3</v>
      </c>
      <c r="AK67" s="9"/>
      <c r="AL67" s="21" t="s">
        <v>112</v>
      </c>
      <c r="AM67" s="15">
        <f t="shared" si="8"/>
        <v>3</v>
      </c>
      <c r="AN67" s="6">
        <v>95.23</v>
      </c>
    </row>
    <row r="68">
      <c r="A68" s="21" t="s">
        <v>113</v>
      </c>
      <c r="B68" s="16" t="s">
        <v>114</v>
      </c>
      <c r="C68" s="6">
        <v>3.0</v>
      </c>
      <c r="D68" s="6">
        <v>1.0</v>
      </c>
      <c r="E68" s="6">
        <v>2.0</v>
      </c>
      <c r="F68" s="6">
        <v>5.0</v>
      </c>
      <c r="G68" s="6">
        <v>4.0</v>
      </c>
      <c r="H68" s="6">
        <v>1.0</v>
      </c>
      <c r="I68" s="6">
        <v>4.0</v>
      </c>
      <c r="J68" s="6">
        <v>3.0</v>
      </c>
      <c r="K68" s="6">
        <v>1.0</v>
      </c>
      <c r="L68" s="6">
        <v>2.0</v>
      </c>
      <c r="M68" s="6">
        <v>3.0</v>
      </c>
      <c r="N68" s="6">
        <v>3.0</v>
      </c>
      <c r="O68" s="6">
        <v>4.0</v>
      </c>
      <c r="P68" s="6">
        <v>1.0</v>
      </c>
      <c r="Q68" s="6">
        <v>4.0</v>
      </c>
      <c r="R68" s="6">
        <v>5.0</v>
      </c>
      <c r="S68" s="6">
        <v>4.0</v>
      </c>
      <c r="T68" s="6">
        <v>3.0</v>
      </c>
      <c r="U68" s="6">
        <v>2.0</v>
      </c>
      <c r="V68" s="6">
        <v>5.0</v>
      </c>
      <c r="W68" s="7"/>
      <c r="X68" s="14">
        <f t="shared" si="1"/>
        <v>2</v>
      </c>
      <c r="Y68" s="9"/>
      <c r="Z68" s="14">
        <f t="shared" si="2"/>
        <v>3.2</v>
      </c>
      <c r="AA68" s="9"/>
      <c r="AB68" s="14">
        <f t="shared" si="3"/>
        <v>2</v>
      </c>
      <c r="AC68" s="9"/>
      <c r="AD68" s="14">
        <f t="shared" si="4"/>
        <v>2.666666667</v>
      </c>
      <c r="AE68" s="9"/>
      <c r="AF68" s="14">
        <f t="shared" si="5"/>
        <v>2.5</v>
      </c>
      <c r="AG68" s="9"/>
      <c r="AH68" s="14">
        <f t="shared" si="6"/>
        <v>4.333333333</v>
      </c>
      <c r="AI68" s="9"/>
      <c r="AJ68" s="14">
        <f t="shared" si="7"/>
        <v>3.333333333</v>
      </c>
      <c r="AK68" s="9"/>
      <c r="AL68" s="21" t="s">
        <v>113</v>
      </c>
      <c r="AM68" s="15">
        <f t="shared" si="8"/>
        <v>2.861904762</v>
      </c>
      <c r="AN68" s="16" t="s">
        <v>114</v>
      </c>
    </row>
    <row r="69">
      <c r="A69" s="21" t="s">
        <v>115</v>
      </c>
      <c r="B69" s="16" t="s">
        <v>116</v>
      </c>
      <c r="C69" s="6">
        <v>4.0</v>
      </c>
      <c r="D69" s="6">
        <v>4.0</v>
      </c>
      <c r="E69" s="6">
        <v>5.0</v>
      </c>
      <c r="F69" s="6">
        <v>4.0</v>
      </c>
      <c r="G69" s="6">
        <v>4.0</v>
      </c>
      <c r="H69" s="6">
        <v>4.0</v>
      </c>
      <c r="I69" s="6">
        <v>4.0</v>
      </c>
      <c r="J69" s="6">
        <v>3.0</v>
      </c>
      <c r="K69" s="6">
        <v>4.0</v>
      </c>
      <c r="L69" s="6">
        <v>4.0</v>
      </c>
      <c r="M69" s="6">
        <v>4.0</v>
      </c>
      <c r="N69" s="6">
        <v>2.0</v>
      </c>
      <c r="O69" s="6">
        <v>5.0</v>
      </c>
      <c r="P69" s="6">
        <v>4.0</v>
      </c>
      <c r="Q69" s="6">
        <v>4.0</v>
      </c>
      <c r="R69" s="6">
        <v>3.0</v>
      </c>
      <c r="S69" s="6">
        <v>4.0</v>
      </c>
      <c r="T69" s="6">
        <v>4.0</v>
      </c>
      <c r="U69" s="6">
        <v>4.0</v>
      </c>
      <c r="V69" s="6">
        <v>4.0</v>
      </c>
      <c r="W69" s="7"/>
      <c r="X69" s="14">
        <f t="shared" si="1"/>
        <v>4</v>
      </c>
      <c r="Y69" s="9"/>
      <c r="Z69" s="14">
        <f t="shared" si="2"/>
        <v>4.2</v>
      </c>
      <c r="AA69" s="9"/>
      <c r="AB69" s="14">
        <f t="shared" si="3"/>
        <v>3.5</v>
      </c>
      <c r="AC69" s="9"/>
      <c r="AD69" s="14">
        <f t="shared" si="4"/>
        <v>3.333333333</v>
      </c>
      <c r="AE69" s="9"/>
      <c r="AF69" s="14">
        <f t="shared" si="5"/>
        <v>4.5</v>
      </c>
      <c r="AG69" s="9"/>
      <c r="AH69" s="14">
        <f t="shared" si="6"/>
        <v>3.666666667</v>
      </c>
      <c r="AI69" s="9"/>
      <c r="AJ69" s="14">
        <f t="shared" si="7"/>
        <v>4</v>
      </c>
      <c r="AK69" s="9"/>
      <c r="AL69" s="21" t="s">
        <v>115</v>
      </c>
      <c r="AM69" s="15">
        <f t="shared" si="8"/>
        <v>3.885714286</v>
      </c>
      <c r="AN69" s="16" t="s">
        <v>116</v>
      </c>
    </row>
    <row r="70">
      <c r="A70" s="21" t="s">
        <v>117</v>
      </c>
      <c r="B70" s="6">
        <v>78.4</v>
      </c>
      <c r="C70" s="6">
        <v>3.0</v>
      </c>
      <c r="D70" s="6">
        <v>3.0</v>
      </c>
      <c r="E70" s="6">
        <v>3.0</v>
      </c>
      <c r="F70" s="6">
        <v>4.0</v>
      </c>
      <c r="G70" s="6">
        <v>2.0</v>
      </c>
      <c r="H70" s="6">
        <v>3.0</v>
      </c>
      <c r="I70" s="6">
        <v>4.0</v>
      </c>
      <c r="J70" s="6">
        <v>4.0</v>
      </c>
      <c r="K70" s="6">
        <v>2.0</v>
      </c>
      <c r="L70" s="6">
        <v>4.0</v>
      </c>
      <c r="M70" s="6">
        <v>3.0</v>
      </c>
      <c r="N70" s="6">
        <v>2.0</v>
      </c>
      <c r="O70" s="6">
        <v>3.0</v>
      </c>
      <c r="P70" s="6">
        <v>2.0</v>
      </c>
      <c r="Q70" s="6">
        <v>2.0</v>
      </c>
      <c r="R70" s="6">
        <v>4.0</v>
      </c>
      <c r="S70" s="6">
        <v>2.0</v>
      </c>
      <c r="T70" s="6">
        <v>3.0</v>
      </c>
      <c r="U70" s="6">
        <v>3.0</v>
      </c>
      <c r="V70" s="6">
        <v>3.0</v>
      </c>
      <c r="W70" s="7"/>
      <c r="X70" s="14">
        <f t="shared" si="1"/>
        <v>3</v>
      </c>
      <c r="Y70" s="9"/>
      <c r="Z70" s="14">
        <f t="shared" si="2"/>
        <v>3.2</v>
      </c>
      <c r="AA70" s="9"/>
      <c r="AB70" s="14">
        <f t="shared" si="3"/>
        <v>3</v>
      </c>
      <c r="AC70" s="9"/>
      <c r="AD70" s="14">
        <f t="shared" si="4"/>
        <v>3</v>
      </c>
      <c r="AE70" s="9"/>
      <c r="AF70" s="14">
        <f t="shared" si="5"/>
        <v>2.5</v>
      </c>
      <c r="AG70" s="9"/>
      <c r="AH70" s="14">
        <f t="shared" si="6"/>
        <v>2.666666667</v>
      </c>
      <c r="AI70" s="9"/>
      <c r="AJ70" s="14">
        <f t="shared" si="7"/>
        <v>3</v>
      </c>
      <c r="AK70" s="9"/>
      <c r="AL70" s="21" t="s">
        <v>117</v>
      </c>
      <c r="AM70" s="15">
        <f t="shared" si="8"/>
        <v>2.90952381</v>
      </c>
      <c r="AN70" s="6">
        <v>78.4</v>
      </c>
    </row>
    <row r="71">
      <c r="A71" s="21" t="s">
        <v>118</v>
      </c>
      <c r="B71" s="6">
        <v>90.02</v>
      </c>
      <c r="C71" s="6">
        <v>4.0</v>
      </c>
      <c r="D71" s="6">
        <v>3.0</v>
      </c>
      <c r="E71" s="6">
        <v>3.0</v>
      </c>
      <c r="F71" s="6">
        <v>4.0</v>
      </c>
      <c r="G71" s="6">
        <v>3.0</v>
      </c>
      <c r="H71" s="6">
        <v>4.0</v>
      </c>
      <c r="I71" s="6">
        <v>4.0</v>
      </c>
      <c r="J71" s="6">
        <v>3.0</v>
      </c>
      <c r="K71" s="6">
        <v>2.0</v>
      </c>
      <c r="L71" s="6">
        <v>3.0</v>
      </c>
      <c r="M71" s="6">
        <v>4.0</v>
      </c>
      <c r="N71" s="6">
        <v>1.0</v>
      </c>
      <c r="O71" s="6">
        <v>3.0</v>
      </c>
      <c r="P71" s="6">
        <v>2.0</v>
      </c>
      <c r="Q71" s="6">
        <v>3.0</v>
      </c>
      <c r="R71" s="6">
        <v>5.0</v>
      </c>
      <c r="S71" s="6">
        <v>3.0</v>
      </c>
      <c r="T71" s="6">
        <v>1.0</v>
      </c>
      <c r="U71" s="6">
        <v>3.0</v>
      </c>
      <c r="V71" s="6">
        <v>2.0</v>
      </c>
      <c r="W71" s="7"/>
      <c r="X71" s="14">
        <f t="shared" si="1"/>
        <v>3.5</v>
      </c>
      <c r="Y71" s="9"/>
      <c r="Z71" s="14">
        <f t="shared" si="2"/>
        <v>3.6</v>
      </c>
      <c r="AA71" s="9"/>
      <c r="AB71" s="14">
        <f t="shared" si="3"/>
        <v>2.5</v>
      </c>
      <c r="AC71" s="9"/>
      <c r="AD71" s="14">
        <f t="shared" si="4"/>
        <v>2.666666667</v>
      </c>
      <c r="AE71" s="9"/>
      <c r="AF71" s="14">
        <f t="shared" si="5"/>
        <v>2.5</v>
      </c>
      <c r="AG71" s="9"/>
      <c r="AH71" s="14">
        <f t="shared" si="6"/>
        <v>3.666666667</v>
      </c>
      <c r="AI71" s="9"/>
      <c r="AJ71" s="14">
        <f t="shared" si="7"/>
        <v>2</v>
      </c>
      <c r="AK71" s="9"/>
      <c r="AL71" s="21" t="s">
        <v>118</v>
      </c>
      <c r="AM71" s="15">
        <f t="shared" si="8"/>
        <v>2.919047619</v>
      </c>
      <c r="AN71" s="6">
        <v>90.02</v>
      </c>
    </row>
    <row r="72">
      <c r="A72" s="21" t="s">
        <v>119</v>
      </c>
      <c r="B72" s="16">
        <v>81.48</v>
      </c>
      <c r="C72" s="6">
        <v>3.0</v>
      </c>
      <c r="D72" s="6">
        <v>3.0</v>
      </c>
      <c r="E72" s="6">
        <v>2.0</v>
      </c>
      <c r="F72" s="6">
        <v>3.0</v>
      </c>
      <c r="G72" s="6">
        <v>3.0</v>
      </c>
      <c r="H72" s="6">
        <v>3.0</v>
      </c>
      <c r="I72" s="6">
        <v>3.0</v>
      </c>
      <c r="J72" s="6">
        <v>4.0</v>
      </c>
      <c r="K72" s="6">
        <v>1.0</v>
      </c>
      <c r="L72" s="6">
        <v>3.0</v>
      </c>
      <c r="M72" s="6">
        <v>3.0</v>
      </c>
      <c r="N72" s="6">
        <v>2.0</v>
      </c>
      <c r="O72" s="6">
        <v>3.0</v>
      </c>
      <c r="P72" s="6">
        <v>3.0</v>
      </c>
      <c r="Q72" s="6">
        <v>3.0</v>
      </c>
      <c r="R72" s="6">
        <v>3.0</v>
      </c>
      <c r="S72" s="6">
        <v>3.0</v>
      </c>
      <c r="T72" s="6">
        <v>3.0</v>
      </c>
      <c r="U72" s="6">
        <v>3.0</v>
      </c>
      <c r="V72" s="6">
        <v>3.0</v>
      </c>
      <c r="W72" s="7"/>
      <c r="X72" s="14">
        <f t="shared" si="1"/>
        <v>3</v>
      </c>
      <c r="Y72" s="9"/>
      <c r="Z72" s="14">
        <f t="shared" si="2"/>
        <v>2.8</v>
      </c>
      <c r="AA72" s="9"/>
      <c r="AB72" s="14">
        <f t="shared" si="3"/>
        <v>2.5</v>
      </c>
      <c r="AC72" s="9"/>
      <c r="AD72" s="14">
        <f t="shared" si="4"/>
        <v>2.666666667</v>
      </c>
      <c r="AE72" s="9"/>
      <c r="AF72" s="14">
        <f t="shared" si="5"/>
        <v>3</v>
      </c>
      <c r="AG72" s="9"/>
      <c r="AH72" s="14">
        <f t="shared" si="6"/>
        <v>3</v>
      </c>
      <c r="AI72" s="9"/>
      <c r="AJ72" s="14">
        <f t="shared" si="7"/>
        <v>3</v>
      </c>
      <c r="AK72" s="9"/>
      <c r="AL72" s="21" t="s">
        <v>119</v>
      </c>
      <c r="AM72" s="15">
        <f t="shared" si="8"/>
        <v>2.852380952</v>
      </c>
      <c r="AN72" s="16">
        <v>81.48</v>
      </c>
    </row>
    <row r="73">
      <c r="A73" s="21" t="s">
        <v>120</v>
      </c>
      <c r="B73" s="6">
        <v>89.67</v>
      </c>
      <c r="C73" s="6">
        <v>3.0</v>
      </c>
      <c r="D73" s="6">
        <v>5.0</v>
      </c>
      <c r="E73" s="6">
        <v>3.0</v>
      </c>
      <c r="F73" s="6">
        <v>4.0</v>
      </c>
      <c r="G73" s="6">
        <v>3.0</v>
      </c>
      <c r="H73" s="6">
        <v>1.0</v>
      </c>
      <c r="I73" s="6">
        <v>5.0</v>
      </c>
      <c r="J73" s="6">
        <v>2.0</v>
      </c>
      <c r="K73" s="6">
        <v>2.0</v>
      </c>
      <c r="L73" s="6">
        <v>2.0</v>
      </c>
      <c r="M73" s="6">
        <v>3.0</v>
      </c>
      <c r="N73" s="6">
        <v>1.0</v>
      </c>
      <c r="O73" s="6">
        <v>3.0</v>
      </c>
      <c r="P73" s="6">
        <v>3.0</v>
      </c>
      <c r="Q73" s="6">
        <v>2.0</v>
      </c>
      <c r="R73" s="6">
        <v>3.0</v>
      </c>
      <c r="S73" s="6">
        <v>2.0</v>
      </c>
      <c r="T73" s="6">
        <v>3.0</v>
      </c>
      <c r="U73" s="6">
        <v>5.0</v>
      </c>
      <c r="V73" s="6">
        <v>3.0</v>
      </c>
      <c r="W73" s="7"/>
      <c r="X73" s="14">
        <f t="shared" si="1"/>
        <v>4</v>
      </c>
      <c r="Y73" s="9"/>
      <c r="Z73" s="14">
        <f t="shared" si="2"/>
        <v>3.2</v>
      </c>
      <c r="AA73" s="9"/>
      <c r="AB73" s="14">
        <f t="shared" si="3"/>
        <v>2</v>
      </c>
      <c r="AC73" s="9"/>
      <c r="AD73" s="14">
        <f t="shared" si="4"/>
        <v>2</v>
      </c>
      <c r="AE73" s="9"/>
      <c r="AF73" s="14">
        <f t="shared" si="5"/>
        <v>3</v>
      </c>
      <c r="AG73" s="9"/>
      <c r="AH73" s="14">
        <f t="shared" si="6"/>
        <v>2.333333333</v>
      </c>
      <c r="AI73" s="9"/>
      <c r="AJ73" s="14">
        <f t="shared" si="7"/>
        <v>3.666666667</v>
      </c>
      <c r="AK73" s="9"/>
      <c r="AL73" s="21" t="s">
        <v>120</v>
      </c>
      <c r="AM73" s="15">
        <f t="shared" si="8"/>
        <v>2.885714286</v>
      </c>
      <c r="AN73" s="6">
        <v>89.67</v>
      </c>
    </row>
    <row r="74">
      <c r="A74" s="21" t="s">
        <v>121</v>
      </c>
      <c r="B74" s="16" t="s">
        <v>122</v>
      </c>
      <c r="C74" s="6">
        <v>5.0</v>
      </c>
      <c r="D74" s="6">
        <v>1.0</v>
      </c>
      <c r="E74" s="6">
        <v>5.0</v>
      </c>
      <c r="F74" s="6">
        <v>5.0</v>
      </c>
      <c r="G74" s="6">
        <v>5.0</v>
      </c>
      <c r="H74" s="6">
        <v>5.0</v>
      </c>
      <c r="I74" s="6">
        <v>5.0</v>
      </c>
      <c r="J74" s="6">
        <v>5.0</v>
      </c>
      <c r="K74" s="6">
        <v>3.0</v>
      </c>
      <c r="L74" s="6">
        <v>1.0</v>
      </c>
      <c r="M74" s="6">
        <v>5.0</v>
      </c>
      <c r="N74" s="6">
        <v>5.0</v>
      </c>
      <c r="O74" s="6">
        <v>5.0</v>
      </c>
      <c r="P74" s="6">
        <v>5.0</v>
      </c>
      <c r="Q74" s="6">
        <v>5.0</v>
      </c>
      <c r="R74" s="6">
        <v>1.0</v>
      </c>
      <c r="S74" s="6">
        <v>5.0</v>
      </c>
      <c r="T74" s="6">
        <v>5.0</v>
      </c>
      <c r="U74" s="6">
        <v>5.0</v>
      </c>
      <c r="V74" s="6">
        <v>5.0</v>
      </c>
      <c r="W74" s="7"/>
      <c r="X74" s="14">
        <f t="shared" si="1"/>
        <v>3</v>
      </c>
      <c r="Y74" s="9"/>
      <c r="Z74" s="14">
        <f t="shared" si="2"/>
        <v>5</v>
      </c>
      <c r="AA74" s="9"/>
      <c r="AB74" s="14">
        <f t="shared" si="3"/>
        <v>4</v>
      </c>
      <c r="AC74" s="9"/>
      <c r="AD74" s="14">
        <f t="shared" si="4"/>
        <v>3.666666667</v>
      </c>
      <c r="AE74" s="9"/>
      <c r="AF74" s="14">
        <f t="shared" si="5"/>
        <v>5</v>
      </c>
      <c r="AG74" s="9"/>
      <c r="AH74" s="14">
        <f t="shared" si="6"/>
        <v>3.666666667</v>
      </c>
      <c r="AI74" s="9"/>
      <c r="AJ74" s="14">
        <f t="shared" si="7"/>
        <v>5</v>
      </c>
      <c r="AK74" s="9"/>
      <c r="AL74" s="21" t="s">
        <v>121</v>
      </c>
      <c r="AM74" s="15">
        <f t="shared" si="8"/>
        <v>4.19047619</v>
      </c>
      <c r="AN74" s="16" t="s">
        <v>122</v>
      </c>
    </row>
    <row r="75">
      <c r="A75" s="21" t="s">
        <v>123</v>
      </c>
      <c r="B75" s="16">
        <v>91.46</v>
      </c>
      <c r="C75" s="6">
        <v>3.0</v>
      </c>
      <c r="D75" s="6">
        <v>4.0</v>
      </c>
      <c r="E75" s="6">
        <v>3.0</v>
      </c>
      <c r="F75" s="6">
        <v>4.0</v>
      </c>
      <c r="G75" s="6">
        <v>3.0</v>
      </c>
      <c r="H75" s="6">
        <v>4.0</v>
      </c>
      <c r="I75" s="6">
        <v>3.0</v>
      </c>
      <c r="J75" s="6">
        <v>4.0</v>
      </c>
      <c r="K75" s="6">
        <v>1.0</v>
      </c>
      <c r="L75" s="6">
        <v>3.0</v>
      </c>
      <c r="M75" s="6">
        <v>3.0</v>
      </c>
      <c r="N75" s="6">
        <v>4.0</v>
      </c>
      <c r="O75" s="6">
        <v>3.0</v>
      </c>
      <c r="P75" s="6">
        <v>2.0</v>
      </c>
      <c r="Q75" s="6">
        <v>2.0</v>
      </c>
      <c r="R75" s="6">
        <v>3.0</v>
      </c>
      <c r="S75" s="6">
        <v>3.0</v>
      </c>
      <c r="T75" s="6">
        <v>3.0</v>
      </c>
      <c r="U75" s="6">
        <v>4.0</v>
      </c>
      <c r="V75" s="6">
        <v>3.0</v>
      </c>
      <c r="W75" s="7"/>
      <c r="X75" s="14">
        <f t="shared" si="1"/>
        <v>3.5</v>
      </c>
      <c r="Y75" s="9"/>
      <c r="Z75" s="14">
        <f t="shared" si="2"/>
        <v>3.4</v>
      </c>
      <c r="AA75" s="9"/>
      <c r="AB75" s="14">
        <f t="shared" si="3"/>
        <v>2.5</v>
      </c>
      <c r="AC75" s="9"/>
      <c r="AD75" s="14">
        <f t="shared" si="4"/>
        <v>3.333333333</v>
      </c>
      <c r="AE75" s="9"/>
      <c r="AF75" s="14">
        <f t="shared" si="5"/>
        <v>2.5</v>
      </c>
      <c r="AG75" s="9"/>
      <c r="AH75" s="14">
        <f t="shared" si="6"/>
        <v>2.666666667</v>
      </c>
      <c r="AI75" s="9"/>
      <c r="AJ75" s="14">
        <f t="shared" si="7"/>
        <v>3.333333333</v>
      </c>
      <c r="AK75" s="9"/>
      <c r="AL75" s="21" t="s">
        <v>123</v>
      </c>
      <c r="AM75" s="15">
        <f t="shared" si="8"/>
        <v>3.033333333</v>
      </c>
      <c r="AN75" s="16">
        <v>91.46</v>
      </c>
    </row>
    <row r="76">
      <c r="A76" s="21" t="s">
        <v>124</v>
      </c>
      <c r="B76" s="16">
        <v>80.21</v>
      </c>
      <c r="C76" s="6">
        <v>3.0</v>
      </c>
      <c r="D76" s="6">
        <v>3.0</v>
      </c>
      <c r="E76" s="6">
        <v>5.0</v>
      </c>
      <c r="F76" s="6">
        <v>5.0</v>
      </c>
      <c r="G76" s="6">
        <v>3.0</v>
      </c>
      <c r="H76" s="6">
        <v>3.0</v>
      </c>
      <c r="I76" s="6">
        <v>3.0</v>
      </c>
      <c r="J76" s="6">
        <v>3.0</v>
      </c>
      <c r="K76" s="6">
        <v>5.0</v>
      </c>
      <c r="L76" s="6">
        <v>3.0</v>
      </c>
      <c r="M76" s="6">
        <v>3.0</v>
      </c>
      <c r="N76" s="6">
        <v>3.0</v>
      </c>
      <c r="O76" s="6">
        <v>5.0</v>
      </c>
      <c r="P76" s="6">
        <v>3.0</v>
      </c>
      <c r="Q76" s="6">
        <v>5.0</v>
      </c>
      <c r="R76" s="6">
        <v>3.0</v>
      </c>
      <c r="S76" s="6">
        <v>3.0</v>
      </c>
      <c r="T76" s="6">
        <v>3.0</v>
      </c>
      <c r="U76" s="6">
        <v>5.0</v>
      </c>
      <c r="V76" s="6">
        <v>1.0</v>
      </c>
      <c r="W76" s="7"/>
      <c r="X76" s="14">
        <f t="shared" si="1"/>
        <v>3</v>
      </c>
      <c r="Y76" s="9"/>
      <c r="Z76" s="14">
        <f t="shared" si="2"/>
        <v>3.8</v>
      </c>
      <c r="AA76" s="9"/>
      <c r="AB76" s="14">
        <f t="shared" si="3"/>
        <v>4</v>
      </c>
      <c r="AC76" s="9"/>
      <c r="AD76" s="14">
        <f t="shared" si="4"/>
        <v>3</v>
      </c>
      <c r="AE76" s="9"/>
      <c r="AF76" s="14">
        <f t="shared" si="5"/>
        <v>4</v>
      </c>
      <c r="AG76" s="9"/>
      <c r="AH76" s="14">
        <f t="shared" si="6"/>
        <v>3.666666667</v>
      </c>
      <c r="AI76" s="9"/>
      <c r="AJ76" s="14">
        <f t="shared" si="7"/>
        <v>3</v>
      </c>
      <c r="AK76" s="9"/>
      <c r="AL76" s="21" t="s">
        <v>124</v>
      </c>
      <c r="AM76" s="15">
        <f t="shared" si="8"/>
        <v>3.495238095</v>
      </c>
      <c r="AN76" s="16">
        <v>80.21</v>
      </c>
    </row>
    <row r="77">
      <c r="A77" s="23" t="s">
        <v>125</v>
      </c>
      <c r="B77" s="16" t="s">
        <v>126</v>
      </c>
      <c r="C77" s="6">
        <v>5.0</v>
      </c>
      <c r="D77" s="6">
        <v>5.0</v>
      </c>
      <c r="E77" s="6">
        <v>1.0</v>
      </c>
      <c r="F77" s="6">
        <v>2.0</v>
      </c>
      <c r="G77" s="6">
        <v>3.0</v>
      </c>
      <c r="H77" s="6">
        <v>4.0</v>
      </c>
      <c r="I77" s="6">
        <v>3.0</v>
      </c>
      <c r="J77" s="6">
        <v>2.0</v>
      </c>
      <c r="K77" s="6">
        <v>3.0</v>
      </c>
      <c r="L77" s="6">
        <v>3.0</v>
      </c>
      <c r="M77" s="6">
        <v>2.0</v>
      </c>
      <c r="N77" s="6">
        <v>2.0</v>
      </c>
      <c r="O77" s="6">
        <v>1.0</v>
      </c>
      <c r="P77" s="6">
        <v>3.0</v>
      </c>
      <c r="Q77" s="6">
        <v>3.0</v>
      </c>
      <c r="R77" s="6">
        <v>3.0</v>
      </c>
      <c r="S77" s="6">
        <v>3.0</v>
      </c>
      <c r="T77" s="6">
        <v>2.0</v>
      </c>
      <c r="U77" s="6">
        <v>4.0</v>
      </c>
      <c r="V77" s="6">
        <v>5.0</v>
      </c>
      <c r="W77" s="7"/>
      <c r="X77" s="14">
        <f t="shared" si="1"/>
        <v>5</v>
      </c>
      <c r="Y77" s="9"/>
      <c r="Z77" s="14">
        <f t="shared" si="2"/>
        <v>2.6</v>
      </c>
      <c r="AA77" s="9"/>
      <c r="AB77" s="14">
        <f t="shared" si="3"/>
        <v>2.5</v>
      </c>
      <c r="AC77" s="9"/>
      <c r="AD77" s="14">
        <f t="shared" si="4"/>
        <v>2.333333333</v>
      </c>
      <c r="AE77" s="9"/>
      <c r="AF77" s="14">
        <f t="shared" si="5"/>
        <v>2</v>
      </c>
      <c r="AG77" s="9"/>
      <c r="AH77" s="14">
        <f t="shared" si="6"/>
        <v>3</v>
      </c>
      <c r="AI77" s="9"/>
      <c r="AJ77" s="14">
        <f t="shared" si="7"/>
        <v>3.666666667</v>
      </c>
      <c r="AK77" s="9"/>
      <c r="AL77" s="23" t="s">
        <v>125</v>
      </c>
      <c r="AM77" s="15">
        <f t="shared" si="8"/>
        <v>3.014285714</v>
      </c>
      <c r="AN77" s="16" t="s">
        <v>126</v>
      </c>
    </row>
    <row r="78">
      <c r="A78" s="23" t="s">
        <v>127</v>
      </c>
      <c r="B78" s="6">
        <v>80.5</v>
      </c>
      <c r="C78" s="6">
        <v>3.0</v>
      </c>
      <c r="D78" s="6">
        <v>3.0</v>
      </c>
      <c r="E78" s="6">
        <v>2.0</v>
      </c>
      <c r="F78" s="6">
        <v>3.0</v>
      </c>
      <c r="G78" s="6">
        <v>3.0</v>
      </c>
      <c r="H78" s="6">
        <v>3.0</v>
      </c>
      <c r="I78" s="6">
        <v>3.0</v>
      </c>
      <c r="J78" s="6">
        <v>5.0</v>
      </c>
      <c r="K78" s="6">
        <v>2.0</v>
      </c>
      <c r="L78" s="6">
        <v>3.0</v>
      </c>
      <c r="M78" s="6">
        <v>3.0</v>
      </c>
      <c r="N78" s="6">
        <v>2.0</v>
      </c>
      <c r="O78" s="6">
        <v>2.0</v>
      </c>
      <c r="P78" s="6">
        <v>2.0</v>
      </c>
      <c r="Q78" s="6">
        <v>2.0</v>
      </c>
      <c r="R78" s="6">
        <v>3.0</v>
      </c>
      <c r="S78" s="6">
        <v>3.0</v>
      </c>
      <c r="T78" s="6">
        <v>3.0</v>
      </c>
      <c r="U78" s="6">
        <v>2.0</v>
      </c>
      <c r="V78" s="6">
        <v>3.0</v>
      </c>
      <c r="W78" s="7"/>
      <c r="X78" s="14">
        <f t="shared" si="1"/>
        <v>3</v>
      </c>
      <c r="Y78" s="9"/>
      <c r="Z78" s="14">
        <f t="shared" si="2"/>
        <v>2.8</v>
      </c>
      <c r="AA78" s="9"/>
      <c r="AB78" s="14">
        <f t="shared" si="3"/>
        <v>3.5</v>
      </c>
      <c r="AC78" s="9"/>
      <c r="AD78" s="14">
        <f t="shared" si="4"/>
        <v>2.666666667</v>
      </c>
      <c r="AE78" s="9"/>
      <c r="AF78" s="14">
        <f t="shared" si="5"/>
        <v>2</v>
      </c>
      <c r="AG78" s="9"/>
      <c r="AH78" s="14">
        <f t="shared" si="6"/>
        <v>2.666666667</v>
      </c>
      <c r="AI78" s="9"/>
      <c r="AJ78" s="14">
        <f t="shared" si="7"/>
        <v>2.666666667</v>
      </c>
      <c r="AK78" s="9"/>
      <c r="AL78" s="23" t="s">
        <v>127</v>
      </c>
      <c r="AM78" s="15">
        <f t="shared" si="8"/>
        <v>2.757142857</v>
      </c>
      <c r="AN78" s="6">
        <v>80.5</v>
      </c>
    </row>
    <row r="79">
      <c r="A79" s="23" t="s">
        <v>128</v>
      </c>
      <c r="B79" s="16" t="s">
        <v>129</v>
      </c>
      <c r="C79" s="6">
        <v>3.0</v>
      </c>
      <c r="D79" s="6">
        <v>2.0</v>
      </c>
      <c r="E79" s="6">
        <v>2.0</v>
      </c>
      <c r="F79" s="6">
        <v>4.0</v>
      </c>
      <c r="G79" s="6">
        <v>2.0</v>
      </c>
      <c r="H79" s="6">
        <v>1.0</v>
      </c>
      <c r="I79" s="6">
        <v>1.0</v>
      </c>
      <c r="J79" s="6">
        <v>3.0</v>
      </c>
      <c r="K79" s="6">
        <v>1.0</v>
      </c>
      <c r="L79" s="6">
        <v>1.0</v>
      </c>
      <c r="M79" s="6">
        <v>2.0</v>
      </c>
      <c r="N79" s="6">
        <v>3.0</v>
      </c>
      <c r="O79" s="6">
        <v>1.0</v>
      </c>
      <c r="P79" s="6">
        <v>2.0</v>
      </c>
      <c r="Q79" s="6">
        <v>1.0</v>
      </c>
      <c r="R79" s="6">
        <v>4.0</v>
      </c>
      <c r="S79" s="6">
        <v>3.0</v>
      </c>
      <c r="T79" s="6">
        <v>2.0</v>
      </c>
      <c r="U79" s="6">
        <v>5.0</v>
      </c>
      <c r="V79" s="6">
        <v>3.0</v>
      </c>
      <c r="W79" s="7"/>
      <c r="X79" s="14">
        <f t="shared" si="1"/>
        <v>2.5</v>
      </c>
      <c r="Y79" s="9"/>
      <c r="Z79" s="14">
        <f t="shared" si="2"/>
        <v>2</v>
      </c>
      <c r="AA79" s="9"/>
      <c r="AB79" s="14">
        <f t="shared" si="3"/>
        <v>2</v>
      </c>
      <c r="AC79" s="9"/>
      <c r="AD79" s="14">
        <f t="shared" si="4"/>
        <v>2</v>
      </c>
      <c r="AE79" s="9"/>
      <c r="AF79" s="14">
        <f t="shared" si="5"/>
        <v>1.5</v>
      </c>
      <c r="AG79" s="9"/>
      <c r="AH79" s="14">
        <f t="shared" si="6"/>
        <v>2.666666667</v>
      </c>
      <c r="AI79" s="9"/>
      <c r="AJ79" s="14">
        <f t="shared" si="7"/>
        <v>3.333333333</v>
      </c>
      <c r="AK79" s="9"/>
      <c r="AL79" s="23" t="s">
        <v>128</v>
      </c>
      <c r="AM79" s="15">
        <f t="shared" si="8"/>
        <v>2.285714286</v>
      </c>
      <c r="AN79" s="16" t="s">
        <v>129</v>
      </c>
    </row>
    <row r="80">
      <c r="A80" s="23" t="s">
        <v>130</v>
      </c>
      <c r="B80" s="16" t="s">
        <v>131</v>
      </c>
      <c r="C80" s="6">
        <v>3.0</v>
      </c>
      <c r="D80" s="6">
        <v>2.0</v>
      </c>
      <c r="E80" s="6">
        <v>2.0</v>
      </c>
      <c r="F80" s="6">
        <v>3.0</v>
      </c>
      <c r="G80" s="6">
        <v>2.0</v>
      </c>
      <c r="H80" s="6">
        <v>2.0</v>
      </c>
      <c r="I80" s="6">
        <v>2.0</v>
      </c>
      <c r="J80" s="6">
        <v>4.0</v>
      </c>
      <c r="K80" s="6">
        <v>1.0</v>
      </c>
      <c r="L80" s="6">
        <v>3.0</v>
      </c>
      <c r="M80" s="6">
        <v>3.0</v>
      </c>
      <c r="N80" s="6">
        <v>2.0</v>
      </c>
      <c r="O80" s="6">
        <v>2.0</v>
      </c>
      <c r="P80" s="6">
        <v>3.0</v>
      </c>
      <c r="Q80" s="6">
        <v>2.0</v>
      </c>
      <c r="R80" s="6">
        <v>3.0</v>
      </c>
      <c r="S80" s="6">
        <v>2.0</v>
      </c>
      <c r="T80" s="6">
        <v>2.0</v>
      </c>
      <c r="U80" s="6">
        <v>3.0</v>
      </c>
      <c r="V80" s="6">
        <v>2.0</v>
      </c>
      <c r="W80" s="7"/>
      <c r="X80" s="14">
        <f t="shared" si="1"/>
        <v>2.5</v>
      </c>
      <c r="Y80" s="9"/>
      <c r="Z80" s="14">
        <f t="shared" si="2"/>
        <v>2.2</v>
      </c>
      <c r="AA80" s="9"/>
      <c r="AB80" s="14">
        <f t="shared" si="3"/>
        <v>2.5</v>
      </c>
      <c r="AC80" s="9"/>
      <c r="AD80" s="14">
        <f t="shared" si="4"/>
        <v>2.666666667</v>
      </c>
      <c r="AE80" s="9"/>
      <c r="AF80" s="14">
        <f t="shared" si="5"/>
        <v>2.5</v>
      </c>
      <c r="AG80" s="9"/>
      <c r="AH80" s="14">
        <f t="shared" si="6"/>
        <v>2.333333333</v>
      </c>
      <c r="AI80" s="9"/>
      <c r="AJ80" s="14">
        <f t="shared" si="7"/>
        <v>2.333333333</v>
      </c>
      <c r="AK80" s="9"/>
      <c r="AL80" s="23" t="s">
        <v>130</v>
      </c>
      <c r="AM80" s="15">
        <f t="shared" si="8"/>
        <v>2.433333333</v>
      </c>
      <c r="AN80" s="16" t="s">
        <v>131</v>
      </c>
    </row>
    <row r="81">
      <c r="A81" s="23" t="s">
        <v>132</v>
      </c>
      <c r="B81" s="16" t="s">
        <v>133</v>
      </c>
      <c r="C81" s="6">
        <v>5.0</v>
      </c>
      <c r="D81" s="6">
        <v>1.0</v>
      </c>
      <c r="E81" s="6">
        <v>5.0</v>
      </c>
      <c r="F81" s="6">
        <v>1.0</v>
      </c>
      <c r="G81" s="6">
        <v>5.0</v>
      </c>
      <c r="H81" s="6">
        <v>1.0</v>
      </c>
      <c r="I81" s="6">
        <v>5.0</v>
      </c>
      <c r="J81" s="6">
        <v>1.0</v>
      </c>
      <c r="K81" s="6">
        <v>5.0</v>
      </c>
      <c r="L81" s="6">
        <v>1.0</v>
      </c>
      <c r="M81" s="6">
        <v>5.0</v>
      </c>
      <c r="N81" s="6">
        <v>1.0</v>
      </c>
      <c r="O81" s="6">
        <v>5.0</v>
      </c>
      <c r="P81" s="6">
        <v>1.0</v>
      </c>
      <c r="Q81" s="6">
        <v>5.0</v>
      </c>
      <c r="R81" s="6">
        <v>2.0</v>
      </c>
      <c r="S81" s="6">
        <v>5.0</v>
      </c>
      <c r="T81" s="6">
        <v>1.0</v>
      </c>
      <c r="U81" s="6">
        <v>5.0</v>
      </c>
      <c r="V81" s="6">
        <v>1.0</v>
      </c>
      <c r="W81" s="7"/>
      <c r="X81" s="14">
        <f t="shared" si="1"/>
        <v>3</v>
      </c>
      <c r="Y81" s="9"/>
      <c r="Z81" s="14">
        <f t="shared" si="2"/>
        <v>3.4</v>
      </c>
      <c r="AA81" s="9"/>
      <c r="AB81" s="14">
        <f t="shared" si="3"/>
        <v>3</v>
      </c>
      <c r="AC81" s="9"/>
      <c r="AD81" s="14">
        <f t="shared" si="4"/>
        <v>2.333333333</v>
      </c>
      <c r="AE81" s="9"/>
      <c r="AF81" s="14">
        <f t="shared" si="5"/>
        <v>3</v>
      </c>
      <c r="AG81" s="9"/>
      <c r="AH81" s="14">
        <f t="shared" si="6"/>
        <v>4</v>
      </c>
      <c r="AI81" s="9"/>
      <c r="AJ81" s="14">
        <f t="shared" si="7"/>
        <v>2.333333333</v>
      </c>
      <c r="AK81" s="9"/>
      <c r="AL81" s="23" t="s">
        <v>132</v>
      </c>
      <c r="AM81" s="15">
        <f t="shared" si="8"/>
        <v>3.00952381</v>
      </c>
      <c r="AN81" s="16" t="s">
        <v>133</v>
      </c>
    </row>
    <row r="82">
      <c r="A82" s="23" t="s">
        <v>134</v>
      </c>
      <c r="B82" s="16" t="s">
        <v>135</v>
      </c>
      <c r="C82" s="6">
        <v>3.0</v>
      </c>
      <c r="D82" s="6">
        <v>3.0</v>
      </c>
      <c r="E82" s="6">
        <v>5.0</v>
      </c>
      <c r="F82" s="6">
        <v>2.0</v>
      </c>
      <c r="G82" s="6">
        <v>3.0</v>
      </c>
      <c r="H82" s="6">
        <v>4.0</v>
      </c>
      <c r="I82" s="6">
        <v>4.0</v>
      </c>
      <c r="J82" s="6">
        <v>2.0</v>
      </c>
      <c r="K82" s="6">
        <v>5.0</v>
      </c>
      <c r="L82" s="6">
        <v>4.0</v>
      </c>
      <c r="M82" s="6">
        <v>3.0</v>
      </c>
      <c r="N82" s="6">
        <v>2.0</v>
      </c>
      <c r="O82" s="6">
        <v>5.0</v>
      </c>
      <c r="P82" s="6">
        <v>2.0</v>
      </c>
      <c r="Q82" s="6">
        <v>4.0</v>
      </c>
      <c r="R82" s="6">
        <v>4.0</v>
      </c>
      <c r="S82" s="6">
        <v>4.0</v>
      </c>
      <c r="T82" s="6">
        <v>2.0</v>
      </c>
      <c r="U82" s="6">
        <v>5.0</v>
      </c>
      <c r="V82" s="6">
        <v>3.0</v>
      </c>
      <c r="W82" s="7"/>
      <c r="X82" s="14">
        <f t="shared" si="1"/>
        <v>3</v>
      </c>
      <c r="Y82" s="9"/>
      <c r="Z82" s="14">
        <f t="shared" si="2"/>
        <v>3.6</v>
      </c>
      <c r="AA82" s="9"/>
      <c r="AB82" s="14">
        <f t="shared" si="3"/>
        <v>3.5</v>
      </c>
      <c r="AC82" s="9"/>
      <c r="AD82" s="14">
        <f t="shared" si="4"/>
        <v>3</v>
      </c>
      <c r="AE82" s="9"/>
      <c r="AF82" s="14">
        <f t="shared" si="5"/>
        <v>3.5</v>
      </c>
      <c r="AG82" s="9"/>
      <c r="AH82" s="14">
        <f t="shared" si="6"/>
        <v>4</v>
      </c>
      <c r="AI82" s="9"/>
      <c r="AJ82" s="14">
        <f t="shared" si="7"/>
        <v>3.333333333</v>
      </c>
      <c r="AK82" s="9"/>
      <c r="AL82" s="23" t="s">
        <v>134</v>
      </c>
      <c r="AM82" s="15">
        <f t="shared" si="8"/>
        <v>3.419047619</v>
      </c>
      <c r="AN82" s="16" t="s">
        <v>135</v>
      </c>
    </row>
    <row r="83">
      <c r="A83" s="23" t="s">
        <v>136</v>
      </c>
      <c r="B83" s="16" t="s">
        <v>137</v>
      </c>
      <c r="C83" s="6">
        <v>3.0</v>
      </c>
      <c r="D83" s="6">
        <v>3.0</v>
      </c>
      <c r="E83" s="6">
        <v>2.0</v>
      </c>
      <c r="F83" s="6">
        <v>4.0</v>
      </c>
      <c r="G83" s="6">
        <v>3.0</v>
      </c>
      <c r="H83" s="6">
        <v>2.0</v>
      </c>
      <c r="I83" s="6">
        <v>3.0</v>
      </c>
      <c r="J83" s="6">
        <v>4.0</v>
      </c>
      <c r="K83" s="6">
        <v>3.0</v>
      </c>
      <c r="L83" s="6">
        <v>4.0</v>
      </c>
      <c r="M83" s="6">
        <v>4.0</v>
      </c>
      <c r="N83" s="6">
        <v>3.0</v>
      </c>
      <c r="O83" s="6">
        <v>4.0</v>
      </c>
      <c r="P83" s="6">
        <v>3.0</v>
      </c>
      <c r="Q83" s="6">
        <v>3.0</v>
      </c>
      <c r="R83" s="6">
        <v>4.0</v>
      </c>
      <c r="S83" s="6">
        <v>4.0</v>
      </c>
      <c r="T83" s="6">
        <v>2.0</v>
      </c>
      <c r="U83" s="6">
        <v>4.0</v>
      </c>
      <c r="V83" s="6">
        <v>3.0</v>
      </c>
      <c r="W83" s="7"/>
      <c r="X83" s="14">
        <f t="shared" si="1"/>
        <v>3</v>
      </c>
      <c r="Y83" s="9"/>
      <c r="Z83" s="14">
        <f t="shared" si="2"/>
        <v>2.8</v>
      </c>
      <c r="AA83" s="9"/>
      <c r="AB83" s="14">
        <f t="shared" si="3"/>
        <v>3.5</v>
      </c>
      <c r="AC83" s="9"/>
      <c r="AD83" s="14">
        <f t="shared" si="4"/>
        <v>3.666666667</v>
      </c>
      <c r="AE83" s="9"/>
      <c r="AF83" s="14">
        <f t="shared" si="5"/>
        <v>3.5</v>
      </c>
      <c r="AG83" s="9"/>
      <c r="AH83" s="14">
        <f t="shared" si="6"/>
        <v>3.666666667</v>
      </c>
      <c r="AI83" s="9"/>
      <c r="AJ83" s="14">
        <f t="shared" si="7"/>
        <v>3</v>
      </c>
      <c r="AK83" s="9"/>
      <c r="AL83" s="23" t="s">
        <v>136</v>
      </c>
      <c r="AM83" s="15">
        <f t="shared" si="8"/>
        <v>3.304761905</v>
      </c>
      <c r="AN83" s="16" t="s">
        <v>137</v>
      </c>
    </row>
    <row r="84">
      <c r="A84" s="23" t="s">
        <v>138</v>
      </c>
      <c r="B84" s="16" t="s">
        <v>139</v>
      </c>
      <c r="C84" s="6">
        <v>4.0</v>
      </c>
      <c r="D84" s="6">
        <v>4.0</v>
      </c>
      <c r="E84" s="6">
        <v>3.0</v>
      </c>
      <c r="F84" s="6">
        <v>5.0</v>
      </c>
      <c r="G84" s="6">
        <v>4.0</v>
      </c>
      <c r="H84" s="6">
        <v>2.0</v>
      </c>
      <c r="I84" s="6">
        <v>4.0</v>
      </c>
      <c r="J84" s="6">
        <v>3.0</v>
      </c>
      <c r="K84" s="6">
        <v>4.0</v>
      </c>
      <c r="L84" s="6">
        <v>3.0</v>
      </c>
      <c r="M84" s="6">
        <v>2.0</v>
      </c>
      <c r="N84" s="6">
        <v>1.0</v>
      </c>
      <c r="O84" s="6">
        <v>4.0</v>
      </c>
      <c r="P84" s="6">
        <v>1.0</v>
      </c>
      <c r="Q84" s="6">
        <v>4.0</v>
      </c>
      <c r="R84" s="6">
        <v>4.0</v>
      </c>
      <c r="S84" s="6">
        <v>4.0</v>
      </c>
      <c r="T84" s="6">
        <v>4.0</v>
      </c>
      <c r="U84" s="6">
        <v>2.0</v>
      </c>
      <c r="V84" s="6">
        <v>3.0</v>
      </c>
      <c r="W84" s="7"/>
      <c r="X84" s="14">
        <f t="shared" si="1"/>
        <v>4</v>
      </c>
      <c r="Y84" s="9"/>
      <c r="Z84" s="14">
        <f t="shared" si="2"/>
        <v>3.6</v>
      </c>
      <c r="AA84" s="9"/>
      <c r="AB84" s="14">
        <f t="shared" si="3"/>
        <v>3.5</v>
      </c>
      <c r="AC84" s="9"/>
      <c r="AD84" s="14">
        <f t="shared" si="4"/>
        <v>2</v>
      </c>
      <c r="AE84" s="9"/>
      <c r="AF84" s="14">
        <f t="shared" si="5"/>
        <v>2.5</v>
      </c>
      <c r="AG84" s="9"/>
      <c r="AH84" s="14">
        <f t="shared" si="6"/>
        <v>4</v>
      </c>
      <c r="AI84" s="9"/>
      <c r="AJ84" s="14">
        <f t="shared" si="7"/>
        <v>3</v>
      </c>
      <c r="AK84" s="9"/>
      <c r="AL84" s="23" t="s">
        <v>138</v>
      </c>
      <c r="AM84" s="15">
        <f t="shared" si="8"/>
        <v>3.228571429</v>
      </c>
      <c r="AN84" s="16" t="s">
        <v>139</v>
      </c>
    </row>
    <row r="85">
      <c r="A85" s="23" t="s">
        <v>140</v>
      </c>
      <c r="B85" s="16" t="s">
        <v>141</v>
      </c>
      <c r="C85" s="6">
        <v>2.0</v>
      </c>
      <c r="D85" s="6">
        <v>1.0</v>
      </c>
      <c r="E85" s="6">
        <v>4.0</v>
      </c>
      <c r="F85" s="6">
        <v>4.0</v>
      </c>
      <c r="G85" s="6">
        <v>3.0</v>
      </c>
      <c r="H85" s="6">
        <v>3.0</v>
      </c>
      <c r="I85" s="6">
        <v>3.0</v>
      </c>
      <c r="J85" s="6">
        <v>1.0</v>
      </c>
      <c r="K85" s="6">
        <v>4.0</v>
      </c>
      <c r="L85" s="6">
        <v>3.0</v>
      </c>
      <c r="M85" s="6">
        <v>1.0</v>
      </c>
      <c r="N85" s="6">
        <v>3.0</v>
      </c>
      <c r="O85" s="6">
        <v>1.0</v>
      </c>
      <c r="P85" s="6">
        <v>1.0</v>
      </c>
      <c r="Q85" s="6">
        <v>3.0</v>
      </c>
      <c r="R85" s="6">
        <v>2.0</v>
      </c>
      <c r="S85" s="6">
        <v>2.0</v>
      </c>
      <c r="T85" s="6">
        <v>5.0</v>
      </c>
      <c r="U85" s="6">
        <v>3.0</v>
      </c>
      <c r="V85" s="6">
        <v>3.0</v>
      </c>
      <c r="W85" s="7"/>
      <c r="X85" s="14">
        <f t="shared" si="1"/>
        <v>1.5</v>
      </c>
      <c r="Y85" s="9"/>
      <c r="Z85" s="14">
        <f t="shared" si="2"/>
        <v>3.4</v>
      </c>
      <c r="AA85" s="9"/>
      <c r="AB85" s="14">
        <f t="shared" si="3"/>
        <v>2.5</v>
      </c>
      <c r="AC85" s="9"/>
      <c r="AD85" s="14">
        <f t="shared" si="4"/>
        <v>2.333333333</v>
      </c>
      <c r="AE85" s="9"/>
      <c r="AF85" s="14">
        <f t="shared" si="5"/>
        <v>1</v>
      </c>
      <c r="AG85" s="9"/>
      <c r="AH85" s="14">
        <f t="shared" si="6"/>
        <v>2.333333333</v>
      </c>
      <c r="AI85" s="9"/>
      <c r="AJ85" s="14">
        <f t="shared" si="7"/>
        <v>3.666666667</v>
      </c>
      <c r="AK85" s="9"/>
      <c r="AL85" s="23" t="s">
        <v>140</v>
      </c>
      <c r="AM85" s="15">
        <f t="shared" si="8"/>
        <v>2.39047619</v>
      </c>
      <c r="AN85" s="16" t="s">
        <v>141</v>
      </c>
    </row>
    <row r="86">
      <c r="A86" s="23" t="s">
        <v>142</v>
      </c>
      <c r="B86" s="16" t="s">
        <v>143</v>
      </c>
      <c r="C86" s="6">
        <v>3.0</v>
      </c>
      <c r="D86" s="6">
        <v>2.0</v>
      </c>
      <c r="E86" s="6">
        <v>2.0</v>
      </c>
      <c r="F86" s="6">
        <v>2.0</v>
      </c>
      <c r="G86" s="6">
        <v>3.0</v>
      </c>
      <c r="H86" s="6">
        <v>3.0</v>
      </c>
      <c r="I86" s="6">
        <v>3.0</v>
      </c>
      <c r="J86" s="6">
        <v>3.0</v>
      </c>
      <c r="K86" s="6">
        <v>3.0</v>
      </c>
      <c r="L86" s="6">
        <v>3.0</v>
      </c>
      <c r="M86" s="6">
        <v>3.0</v>
      </c>
      <c r="N86" s="6">
        <v>3.0</v>
      </c>
      <c r="O86" s="6">
        <v>3.0</v>
      </c>
      <c r="P86" s="6">
        <v>3.0</v>
      </c>
      <c r="Q86" s="6">
        <v>3.0</v>
      </c>
      <c r="R86" s="6">
        <v>3.0</v>
      </c>
      <c r="S86" s="6">
        <v>3.0</v>
      </c>
      <c r="T86" s="6">
        <v>3.0</v>
      </c>
      <c r="U86" s="6">
        <v>3.0</v>
      </c>
      <c r="V86" s="6">
        <v>3.0</v>
      </c>
      <c r="W86" s="7"/>
      <c r="X86" s="14">
        <f t="shared" si="1"/>
        <v>2.5</v>
      </c>
      <c r="Y86" s="9"/>
      <c r="Z86" s="14">
        <f t="shared" si="2"/>
        <v>2.6</v>
      </c>
      <c r="AA86" s="9"/>
      <c r="AB86" s="14">
        <f t="shared" si="3"/>
        <v>3</v>
      </c>
      <c r="AC86" s="9"/>
      <c r="AD86" s="14">
        <f t="shared" si="4"/>
        <v>3</v>
      </c>
      <c r="AE86" s="9"/>
      <c r="AF86" s="14">
        <f t="shared" si="5"/>
        <v>3</v>
      </c>
      <c r="AG86" s="9"/>
      <c r="AH86" s="14">
        <f t="shared" si="6"/>
        <v>3</v>
      </c>
      <c r="AI86" s="9"/>
      <c r="AJ86" s="14">
        <f t="shared" si="7"/>
        <v>3</v>
      </c>
      <c r="AK86" s="9"/>
      <c r="AL86" s="23" t="s">
        <v>142</v>
      </c>
      <c r="AM86" s="15">
        <f t="shared" si="8"/>
        <v>2.871428571</v>
      </c>
      <c r="AN86" s="16" t="s">
        <v>143</v>
      </c>
    </row>
    <row r="87">
      <c r="A87" s="23" t="s">
        <v>144</v>
      </c>
      <c r="B87" s="16" t="s">
        <v>145</v>
      </c>
      <c r="C87" s="6">
        <v>1.0</v>
      </c>
      <c r="D87" s="6">
        <v>3.0</v>
      </c>
      <c r="E87" s="6">
        <v>4.0</v>
      </c>
      <c r="F87" s="6">
        <v>2.0</v>
      </c>
      <c r="G87" s="6">
        <v>3.0</v>
      </c>
      <c r="H87" s="6">
        <v>4.0</v>
      </c>
      <c r="I87" s="6">
        <v>2.0</v>
      </c>
      <c r="J87" s="6">
        <v>4.0</v>
      </c>
      <c r="K87" s="6">
        <v>4.0</v>
      </c>
      <c r="L87" s="6">
        <v>3.0</v>
      </c>
      <c r="M87" s="6">
        <v>2.0</v>
      </c>
      <c r="N87" s="6">
        <v>2.0</v>
      </c>
      <c r="O87" s="6">
        <v>3.0</v>
      </c>
      <c r="P87" s="6">
        <v>4.0</v>
      </c>
      <c r="Q87" s="6">
        <v>2.0</v>
      </c>
      <c r="R87" s="6">
        <v>3.0</v>
      </c>
      <c r="S87" s="6">
        <v>4.0</v>
      </c>
      <c r="T87" s="6">
        <v>4.0</v>
      </c>
      <c r="U87" s="6">
        <v>4.0</v>
      </c>
      <c r="V87" s="6">
        <v>3.0</v>
      </c>
      <c r="W87" s="7"/>
      <c r="X87" s="14">
        <f t="shared" si="1"/>
        <v>2</v>
      </c>
      <c r="Y87" s="9"/>
      <c r="Z87" s="14">
        <f t="shared" si="2"/>
        <v>3</v>
      </c>
      <c r="AA87" s="9"/>
      <c r="AB87" s="14">
        <f t="shared" si="3"/>
        <v>4</v>
      </c>
      <c r="AC87" s="9"/>
      <c r="AD87" s="14">
        <f t="shared" si="4"/>
        <v>2.333333333</v>
      </c>
      <c r="AE87" s="9"/>
      <c r="AF87" s="14">
        <f t="shared" si="5"/>
        <v>3.5</v>
      </c>
      <c r="AG87" s="9"/>
      <c r="AH87" s="14">
        <f t="shared" si="6"/>
        <v>3</v>
      </c>
      <c r="AI87" s="9"/>
      <c r="AJ87" s="14">
        <f t="shared" si="7"/>
        <v>3.666666667</v>
      </c>
      <c r="AK87" s="9"/>
      <c r="AL87" s="23" t="s">
        <v>144</v>
      </c>
      <c r="AM87" s="15">
        <f t="shared" si="8"/>
        <v>3.071428571</v>
      </c>
      <c r="AN87" s="16" t="s">
        <v>145</v>
      </c>
    </row>
    <row r="88">
      <c r="A88" s="23" t="s">
        <v>146</v>
      </c>
      <c r="B88" s="16" t="s">
        <v>147</v>
      </c>
      <c r="C88" s="6">
        <v>2.0</v>
      </c>
      <c r="D88" s="6">
        <v>4.0</v>
      </c>
      <c r="E88" s="6">
        <v>2.0</v>
      </c>
      <c r="F88" s="6">
        <v>4.0</v>
      </c>
      <c r="G88" s="6">
        <v>2.0</v>
      </c>
      <c r="H88" s="6">
        <v>4.0</v>
      </c>
      <c r="I88" s="6">
        <v>2.0</v>
      </c>
      <c r="J88" s="6">
        <v>4.0</v>
      </c>
      <c r="K88" s="6">
        <v>2.0</v>
      </c>
      <c r="L88" s="6">
        <v>4.0</v>
      </c>
      <c r="M88" s="6">
        <v>2.0</v>
      </c>
      <c r="N88" s="6">
        <v>4.0</v>
      </c>
      <c r="O88" s="6">
        <v>2.0</v>
      </c>
      <c r="P88" s="6">
        <v>4.0</v>
      </c>
      <c r="Q88" s="6">
        <v>2.0</v>
      </c>
      <c r="R88" s="6">
        <v>4.0</v>
      </c>
      <c r="S88" s="6">
        <v>2.0</v>
      </c>
      <c r="T88" s="6">
        <v>5.0</v>
      </c>
      <c r="U88" s="6">
        <v>2.0</v>
      </c>
      <c r="V88" s="6">
        <v>4.0</v>
      </c>
      <c r="W88" s="7"/>
      <c r="X88" s="14">
        <f t="shared" si="1"/>
        <v>3</v>
      </c>
      <c r="Y88" s="9"/>
      <c r="Z88" s="14">
        <f t="shared" si="2"/>
        <v>2.8</v>
      </c>
      <c r="AA88" s="9"/>
      <c r="AB88" s="14">
        <f t="shared" si="3"/>
        <v>3</v>
      </c>
      <c r="AC88" s="9"/>
      <c r="AD88" s="14">
        <f t="shared" si="4"/>
        <v>3.333333333</v>
      </c>
      <c r="AE88" s="9"/>
      <c r="AF88" s="14">
        <f t="shared" si="5"/>
        <v>3</v>
      </c>
      <c r="AG88" s="9"/>
      <c r="AH88" s="14">
        <f t="shared" si="6"/>
        <v>2.666666667</v>
      </c>
      <c r="AI88" s="9"/>
      <c r="AJ88" s="14">
        <f t="shared" si="7"/>
        <v>3.666666667</v>
      </c>
      <c r="AK88" s="9"/>
      <c r="AL88" s="23" t="s">
        <v>146</v>
      </c>
      <c r="AM88" s="15">
        <f t="shared" si="8"/>
        <v>3.066666667</v>
      </c>
      <c r="AN88" s="16" t="s">
        <v>147</v>
      </c>
    </row>
    <row r="89">
      <c r="A89" s="23" t="s">
        <v>148</v>
      </c>
      <c r="B89" s="6">
        <v>83.9</v>
      </c>
      <c r="C89" s="6">
        <v>1.0</v>
      </c>
      <c r="D89" s="6">
        <v>3.0</v>
      </c>
      <c r="E89" s="6">
        <v>3.0</v>
      </c>
      <c r="F89" s="6">
        <v>3.0</v>
      </c>
      <c r="G89" s="6">
        <v>1.0</v>
      </c>
      <c r="H89" s="6">
        <v>4.0</v>
      </c>
      <c r="I89" s="6">
        <v>3.0</v>
      </c>
      <c r="J89" s="6">
        <v>3.0</v>
      </c>
      <c r="K89" s="6">
        <v>5.0</v>
      </c>
      <c r="L89" s="6">
        <v>5.0</v>
      </c>
      <c r="M89" s="6">
        <v>4.0</v>
      </c>
      <c r="N89" s="6">
        <v>1.0</v>
      </c>
      <c r="O89" s="6">
        <v>3.0</v>
      </c>
      <c r="P89" s="6">
        <v>5.0</v>
      </c>
      <c r="Q89" s="6">
        <v>4.0</v>
      </c>
      <c r="R89" s="6">
        <v>4.0</v>
      </c>
      <c r="S89" s="6">
        <v>3.0</v>
      </c>
      <c r="T89" s="6">
        <v>5.0</v>
      </c>
      <c r="U89" s="6">
        <v>3.0</v>
      </c>
      <c r="V89" s="6">
        <v>2.0</v>
      </c>
      <c r="W89" s="7"/>
      <c r="X89" s="14">
        <f t="shared" si="1"/>
        <v>2</v>
      </c>
      <c r="Y89" s="9"/>
      <c r="Z89" s="14">
        <f t="shared" si="2"/>
        <v>2.8</v>
      </c>
      <c r="AA89" s="9"/>
      <c r="AB89" s="14">
        <f t="shared" si="3"/>
        <v>4</v>
      </c>
      <c r="AC89" s="9"/>
      <c r="AD89" s="14">
        <f t="shared" si="4"/>
        <v>3.333333333</v>
      </c>
      <c r="AE89" s="9"/>
      <c r="AF89" s="14">
        <f t="shared" si="5"/>
        <v>4</v>
      </c>
      <c r="AG89" s="9"/>
      <c r="AH89" s="14">
        <f t="shared" si="6"/>
        <v>3.666666667</v>
      </c>
      <c r="AI89" s="9"/>
      <c r="AJ89" s="14">
        <f t="shared" si="7"/>
        <v>3.333333333</v>
      </c>
      <c r="AK89" s="9"/>
      <c r="AL89" s="23" t="s">
        <v>148</v>
      </c>
      <c r="AM89" s="15">
        <f t="shared" si="8"/>
        <v>3.304761905</v>
      </c>
      <c r="AN89" s="6">
        <v>83.9</v>
      </c>
    </row>
    <row r="90">
      <c r="A90" s="23" t="s">
        <v>149</v>
      </c>
      <c r="B90" s="16" t="s">
        <v>150</v>
      </c>
      <c r="C90" s="6">
        <v>3.0</v>
      </c>
      <c r="D90" s="6">
        <v>3.0</v>
      </c>
      <c r="E90" s="6">
        <v>3.0</v>
      </c>
      <c r="F90" s="6">
        <v>4.0</v>
      </c>
      <c r="G90" s="6">
        <v>5.0</v>
      </c>
      <c r="H90" s="6">
        <v>1.0</v>
      </c>
      <c r="I90" s="6">
        <v>3.0</v>
      </c>
      <c r="J90" s="6">
        <v>3.0</v>
      </c>
      <c r="K90" s="6">
        <v>1.0</v>
      </c>
      <c r="L90" s="6">
        <v>3.0</v>
      </c>
      <c r="M90" s="6">
        <v>3.0</v>
      </c>
      <c r="N90" s="6">
        <v>3.0</v>
      </c>
      <c r="O90" s="6">
        <v>4.0</v>
      </c>
      <c r="P90" s="6">
        <v>3.0</v>
      </c>
      <c r="Q90" s="6">
        <v>3.0</v>
      </c>
      <c r="R90" s="6">
        <v>3.0</v>
      </c>
      <c r="S90" s="6">
        <v>3.0</v>
      </c>
      <c r="T90" s="6">
        <v>3.0</v>
      </c>
      <c r="U90" s="6">
        <v>3.0</v>
      </c>
      <c r="V90" s="6">
        <v>3.0</v>
      </c>
      <c r="W90" s="7"/>
      <c r="X90" s="14">
        <f t="shared" si="1"/>
        <v>3</v>
      </c>
      <c r="Y90" s="9"/>
      <c r="Z90" s="14">
        <f t="shared" si="2"/>
        <v>3.2</v>
      </c>
      <c r="AA90" s="9"/>
      <c r="AB90" s="14">
        <f t="shared" si="3"/>
        <v>2</v>
      </c>
      <c r="AC90" s="9"/>
      <c r="AD90" s="14">
        <f t="shared" si="4"/>
        <v>3</v>
      </c>
      <c r="AE90" s="9"/>
      <c r="AF90" s="14">
        <f t="shared" si="5"/>
        <v>3.5</v>
      </c>
      <c r="AG90" s="9"/>
      <c r="AH90" s="14">
        <f t="shared" si="6"/>
        <v>3</v>
      </c>
      <c r="AI90" s="9"/>
      <c r="AJ90" s="14">
        <f t="shared" si="7"/>
        <v>3</v>
      </c>
      <c r="AK90" s="9"/>
      <c r="AL90" s="23" t="s">
        <v>149</v>
      </c>
      <c r="AM90" s="15">
        <f t="shared" si="8"/>
        <v>2.957142857</v>
      </c>
      <c r="AN90" s="16" t="s">
        <v>150</v>
      </c>
    </row>
    <row r="91">
      <c r="A91" s="23" t="s">
        <v>151</v>
      </c>
      <c r="B91" s="6">
        <v>95.21</v>
      </c>
      <c r="C91" s="6">
        <v>3.0</v>
      </c>
      <c r="D91" s="6">
        <v>4.0</v>
      </c>
      <c r="E91" s="6">
        <v>5.0</v>
      </c>
      <c r="F91" s="6">
        <v>2.0</v>
      </c>
      <c r="G91" s="6">
        <v>3.0</v>
      </c>
      <c r="H91" s="6">
        <v>3.0</v>
      </c>
      <c r="I91" s="6">
        <v>5.0</v>
      </c>
      <c r="J91" s="6">
        <v>4.0</v>
      </c>
      <c r="K91" s="6">
        <v>5.0</v>
      </c>
      <c r="L91" s="6">
        <v>2.0</v>
      </c>
      <c r="M91" s="6">
        <v>4.0</v>
      </c>
      <c r="N91" s="6">
        <v>2.0</v>
      </c>
      <c r="O91" s="6">
        <v>4.0</v>
      </c>
      <c r="P91" s="6">
        <v>3.0</v>
      </c>
      <c r="Q91" s="6">
        <v>4.0</v>
      </c>
      <c r="R91" s="6">
        <v>4.0</v>
      </c>
      <c r="S91" s="6">
        <v>4.0</v>
      </c>
      <c r="T91" s="6">
        <v>3.0</v>
      </c>
      <c r="U91" s="6">
        <v>5.0</v>
      </c>
      <c r="V91" s="6">
        <v>4.0</v>
      </c>
      <c r="W91" s="7"/>
      <c r="X91" s="14">
        <f t="shared" si="1"/>
        <v>3.5</v>
      </c>
      <c r="Y91" s="9"/>
      <c r="Z91" s="14">
        <f t="shared" si="2"/>
        <v>3.6</v>
      </c>
      <c r="AA91" s="9"/>
      <c r="AB91" s="14">
        <f t="shared" si="3"/>
        <v>4.5</v>
      </c>
      <c r="AC91" s="9"/>
      <c r="AD91" s="14">
        <f t="shared" si="4"/>
        <v>2.666666667</v>
      </c>
      <c r="AE91" s="9"/>
      <c r="AF91" s="14">
        <f t="shared" si="5"/>
        <v>3.5</v>
      </c>
      <c r="AG91" s="9"/>
      <c r="AH91" s="14">
        <f t="shared" si="6"/>
        <v>4</v>
      </c>
      <c r="AI91" s="9"/>
      <c r="AJ91" s="14">
        <f t="shared" si="7"/>
        <v>4</v>
      </c>
      <c r="AK91" s="9"/>
      <c r="AL91" s="23" t="s">
        <v>151</v>
      </c>
      <c r="AM91" s="15">
        <f t="shared" si="8"/>
        <v>3.680952381</v>
      </c>
      <c r="AN91" s="6">
        <v>95.21</v>
      </c>
    </row>
    <row r="92">
      <c r="A92" s="23" t="s">
        <v>152</v>
      </c>
      <c r="B92" s="16" t="s">
        <v>153</v>
      </c>
      <c r="C92" s="6">
        <v>3.0</v>
      </c>
      <c r="D92" s="6">
        <v>4.0</v>
      </c>
      <c r="E92" s="6">
        <v>2.0</v>
      </c>
      <c r="F92" s="6">
        <v>4.0</v>
      </c>
      <c r="G92" s="6">
        <v>2.0</v>
      </c>
      <c r="H92" s="6">
        <v>3.0</v>
      </c>
      <c r="I92" s="6">
        <v>4.0</v>
      </c>
      <c r="J92" s="6">
        <v>2.0</v>
      </c>
      <c r="K92" s="6">
        <v>3.0</v>
      </c>
      <c r="L92" s="6">
        <v>2.0</v>
      </c>
      <c r="M92" s="6">
        <v>4.0</v>
      </c>
      <c r="N92" s="6">
        <v>3.0</v>
      </c>
      <c r="O92" s="6">
        <v>3.0</v>
      </c>
      <c r="P92" s="6">
        <v>4.0</v>
      </c>
      <c r="Q92" s="6">
        <v>4.0</v>
      </c>
      <c r="R92" s="6">
        <v>3.0</v>
      </c>
      <c r="S92" s="6">
        <v>3.0</v>
      </c>
      <c r="T92" s="6">
        <v>2.0</v>
      </c>
      <c r="U92" s="6">
        <v>4.0</v>
      </c>
      <c r="V92" s="6">
        <v>4.0</v>
      </c>
      <c r="W92" s="7"/>
      <c r="X92" s="14">
        <f t="shared" si="1"/>
        <v>3.5</v>
      </c>
      <c r="Y92" s="9"/>
      <c r="Z92" s="14">
        <f t="shared" si="2"/>
        <v>3</v>
      </c>
      <c r="AA92" s="9"/>
      <c r="AB92" s="14">
        <f t="shared" si="3"/>
        <v>2.5</v>
      </c>
      <c r="AC92" s="9"/>
      <c r="AD92" s="14">
        <f t="shared" si="4"/>
        <v>3</v>
      </c>
      <c r="AE92" s="9"/>
      <c r="AF92" s="14">
        <f t="shared" si="5"/>
        <v>3.5</v>
      </c>
      <c r="AG92" s="9"/>
      <c r="AH92" s="14">
        <f t="shared" si="6"/>
        <v>3.333333333</v>
      </c>
      <c r="AI92" s="9"/>
      <c r="AJ92" s="14">
        <f t="shared" si="7"/>
        <v>3.333333333</v>
      </c>
      <c r="AK92" s="9"/>
      <c r="AL92" s="23" t="s">
        <v>152</v>
      </c>
      <c r="AM92" s="15">
        <f t="shared" si="8"/>
        <v>3.166666667</v>
      </c>
      <c r="AN92" s="16" t="s">
        <v>153</v>
      </c>
    </row>
    <row r="93">
      <c r="A93" s="23" t="s">
        <v>154</v>
      </c>
      <c r="B93" s="16" t="s">
        <v>155</v>
      </c>
      <c r="C93" s="6">
        <v>4.0</v>
      </c>
      <c r="D93" s="6">
        <v>3.0</v>
      </c>
      <c r="E93" s="6">
        <v>2.0</v>
      </c>
      <c r="F93" s="6">
        <v>4.0</v>
      </c>
      <c r="G93" s="6">
        <v>3.0</v>
      </c>
      <c r="H93" s="6">
        <v>4.0</v>
      </c>
      <c r="I93" s="6">
        <v>4.0</v>
      </c>
      <c r="J93" s="6">
        <v>4.0</v>
      </c>
      <c r="K93" s="6">
        <v>3.0</v>
      </c>
      <c r="L93" s="6">
        <v>3.0</v>
      </c>
      <c r="M93" s="6">
        <v>4.0</v>
      </c>
      <c r="N93" s="6">
        <v>4.0</v>
      </c>
      <c r="O93" s="6">
        <v>4.0</v>
      </c>
      <c r="P93" s="6">
        <v>3.0</v>
      </c>
      <c r="Q93" s="6">
        <v>4.0</v>
      </c>
      <c r="R93" s="6">
        <v>4.0</v>
      </c>
      <c r="S93" s="6">
        <v>4.0</v>
      </c>
      <c r="T93" s="6">
        <v>3.0</v>
      </c>
      <c r="U93" s="6">
        <v>4.0</v>
      </c>
      <c r="V93" s="6">
        <v>3.0</v>
      </c>
      <c r="W93" s="7"/>
      <c r="X93" s="14">
        <f t="shared" si="1"/>
        <v>3.5</v>
      </c>
      <c r="Y93" s="9"/>
      <c r="Z93" s="14">
        <f t="shared" si="2"/>
        <v>3.4</v>
      </c>
      <c r="AA93" s="9"/>
      <c r="AB93" s="14">
        <f t="shared" si="3"/>
        <v>3.5</v>
      </c>
      <c r="AC93" s="9"/>
      <c r="AD93" s="14">
        <f t="shared" si="4"/>
        <v>3.666666667</v>
      </c>
      <c r="AE93" s="9"/>
      <c r="AF93" s="14">
        <f t="shared" si="5"/>
        <v>3.5</v>
      </c>
      <c r="AG93" s="9"/>
      <c r="AH93" s="14">
        <f t="shared" si="6"/>
        <v>4</v>
      </c>
      <c r="AI93" s="9"/>
      <c r="AJ93" s="14">
        <f t="shared" si="7"/>
        <v>3.333333333</v>
      </c>
      <c r="AK93" s="9"/>
      <c r="AL93" s="23" t="s">
        <v>154</v>
      </c>
      <c r="AM93" s="15">
        <f t="shared" si="8"/>
        <v>3.557142857</v>
      </c>
      <c r="AN93" s="16" t="s">
        <v>155</v>
      </c>
    </row>
    <row r="94">
      <c r="A94" s="23" t="s">
        <v>156</v>
      </c>
      <c r="B94" s="16" t="s">
        <v>157</v>
      </c>
      <c r="C94" s="6">
        <v>4.0</v>
      </c>
      <c r="D94" s="6">
        <v>3.0</v>
      </c>
      <c r="E94" s="6">
        <v>3.0</v>
      </c>
      <c r="F94" s="6">
        <v>3.0</v>
      </c>
      <c r="G94" s="6">
        <v>4.0</v>
      </c>
      <c r="H94" s="6">
        <v>2.0</v>
      </c>
      <c r="I94" s="6">
        <v>3.0</v>
      </c>
      <c r="J94" s="6">
        <v>4.0</v>
      </c>
      <c r="K94" s="6">
        <v>2.0</v>
      </c>
      <c r="L94" s="6">
        <v>3.0</v>
      </c>
      <c r="M94" s="6">
        <v>5.0</v>
      </c>
      <c r="N94" s="6">
        <v>1.0</v>
      </c>
      <c r="O94" s="6">
        <v>3.0</v>
      </c>
      <c r="P94" s="6">
        <v>2.0</v>
      </c>
      <c r="Q94" s="6">
        <v>3.0</v>
      </c>
      <c r="R94" s="6">
        <v>3.0</v>
      </c>
      <c r="S94" s="6">
        <v>3.0</v>
      </c>
      <c r="T94" s="6">
        <v>4.0</v>
      </c>
      <c r="U94" s="6">
        <v>4.0</v>
      </c>
      <c r="V94" s="6">
        <v>3.0</v>
      </c>
      <c r="W94" s="7"/>
      <c r="X94" s="14">
        <f t="shared" si="1"/>
        <v>3.5</v>
      </c>
      <c r="Y94" s="9"/>
      <c r="Z94" s="14">
        <f t="shared" si="2"/>
        <v>3</v>
      </c>
      <c r="AA94" s="9"/>
      <c r="AB94" s="14">
        <f t="shared" si="3"/>
        <v>3</v>
      </c>
      <c r="AC94" s="9"/>
      <c r="AD94" s="14">
        <f t="shared" si="4"/>
        <v>3</v>
      </c>
      <c r="AE94" s="9"/>
      <c r="AF94" s="14">
        <f t="shared" si="5"/>
        <v>2.5</v>
      </c>
      <c r="AG94" s="9"/>
      <c r="AH94" s="14">
        <f t="shared" si="6"/>
        <v>3</v>
      </c>
      <c r="AI94" s="9"/>
      <c r="AJ94" s="14">
        <f t="shared" si="7"/>
        <v>3.666666667</v>
      </c>
      <c r="AK94" s="9"/>
      <c r="AL94" s="23" t="s">
        <v>156</v>
      </c>
      <c r="AM94" s="15">
        <f t="shared" si="8"/>
        <v>3.095238095</v>
      </c>
      <c r="AN94" s="16" t="s">
        <v>157</v>
      </c>
    </row>
    <row r="95">
      <c r="A95" s="23" t="s">
        <v>158</v>
      </c>
      <c r="B95" s="16" t="s">
        <v>159</v>
      </c>
      <c r="C95" s="6">
        <v>4.0</v>
      </c>
      <c r="D95" s="6">
        <v>3.0</v>
      </c>
      <c r="E95" s="6">
        <v>5.0</v>
      </c>
      <c r="F95" s="6">
        <v>3.0</v>
      </c>
      <c r="G95" s="6">
        <v>3.0</v>
      </c>
      <c r="H95" s="6">
        <v>2.0</v>
      </c>
      <c r="I95" s="6">
        <v>4.0</v>
      </c>
      <c r="J95" s="6">
        <v>5.0</v>
      </c>
      <c r="K95" s="6">
        <v>5.0</v>
      </c>
      <c r="L95" s="6">
        <v>5.0</v>
      </c>
      <c r="M95" s="6">
        <v>4.0</v>
      </c>
      <c r="N95" s="6">
        <v>3.0</v>
      </c>
      <c r="O95" s="6">
        <v>4.0</v>
      </c>
      <c r="P95" s="6">
        <v>4.0</v>
      </c>
      <c r="Q95" s="6">
        <v>4.0</v>
      </c>
      <c r="R95" s="6">
        <v>3.0</v>
      </c>
      <c r="S95" s="6">
        <v>5.0</v>
      </c>
      <c r="T95" s="6">
        <v>4.0</v>
      </c>
      <c r="U95" s="6">
        <v>5.0</v>
      </c>
      <c r="V95" s="6">
        <v>3.0</v>
      </c>
      <c r="W95" s="7"/>
      <c r="X95" s="14">
        <f t="shared" si="1"/>
        <v>3.5</v>
      </c>
      <c r="Y95" s="9"/>
      <c r="Z95" s="14">
        <f t="shared" si="2"/>
        <v>3.4</v>
      </c>
      <c r="AA95" s="9"/>
      <c r="AB95" s="14">
        <f t="shared" si="3"/>
        <v>5</v>
      </c>
      <c r="AC95" s="9"/>
      <c r="AD95" s="14">
        <f t="shared" si="4"/>
        <v>4</v>
      </c>
      <c r="AE95" s="9"/>
      <c r="AF95" s="14">
        <f t="shared" si="5"/>
        <v>4</v>
      </c>
      <c r="AG95" s="9"/>
      <c r="AH95" s="14">
        <f t="shared" si="6"/>
        <v>4</v>
      </c>
      <c r="AI95" s="9"/>
      <c r="AJ95" s="14">
        <f t="shared" si="7"/>
        <v>4</v>
      </c>
      <c r="AK95" s="9"/>
      <c r="AL95" s="23" t="s">
        <v>158</v>
      </c>
      <c r="AM95" s="15">
        <f t="shared" si="8"/>
        <v>3.985714286</v>
      </c>
      <c r="AN95" s="16" t="s">
        <v>159</v>
      </c>
    </row>
    <row r="96">
      <c r="A96" s="23" t="s">
        <v>160</v>
      </c>
      <c r="B96" s="16" t="s">
        <v>161</v>
      </c>
      <c r="C96" s="6">
        <v>3.0</v>
      </c>
      <c r="D96" s="6">
        <v>2.0</v>
      </c>
      <c r="E96" s="6">
        <v>2.0</v>
      </c>
      <c r="F96" s="6">
        <v>3.0</v>
      </c>
      <c r="G96" s="6">
        <v>1.0</v>
      </c>
      <c r="H96" s="6">
        <v>2.0</v>
      </c>
      <c r="I96" s="6">
        <v>4.0</v>
      </c>
      <c r="J96" s="6">
        <v>4.0</v>
      </c>
      <c r="K96" s="6">
        <v>1.0</v>
      </c>
      <c r="L96" s="6">
        <v>3.0</v>
      </c>
      <c r="M96" s="6">
        <v>4.0</v>
      </c>
      <c r="N96" s="6">
        <v>3.0</v>
      </c>
      <c r="O96" s="6">
        <v>3.0</v>
      </c>
      <c r="P96" s="6">
        <v>2.0</v>
      </c>
      <c r="Q96" s="6">
        <v>2.0</v>
      </c>
      <c r="R96" s="6">
        <v>3.0</v>
      </c>
      <c r="S96" s="6">
        <v>3.0</v>
      </c>
      <c r="T96" s="6">
        <v>2.0</v>
      </c>
      <c r="U96" s="6">
        <v>4.0</v>
      </c>
      <c r="V96" s="6">
        <v>2.0</v>
      </c>
      <c r="W96" s="7"/>
      <c r="X96" s="14">
        <f t="shared" si="1"/>
        <v>2.5</v>
      </c>
      <c r="Y96" s="9"/>
      <c r="Z96" s="14">
        <f t="shared" si="2"/>
        <v>2.4</v>
      </c>
      <c r="AA96" s="9"/>
      <c r="AB96" s="14">
        <f t="shared" si="3"/>
        <v>2.5</v>
      </c>
      <c r="AC96" s="9"/>
      <c r="AD96" s="14">
        <f t="shared" si="4"/>
        <v>3.333333333</v>
      </c>
      <c r="AE96" s="9"/>
      <c r="AF96" s="14">
        <f t="shared" si="5"/>
        <v>2.5</v>
      </c>
      <c r="AG96" s="9"/>
      <c r="AH96" s="14">
        <f t="shared" si="6"/>
        <v>2.666666667</v>
      </c>
      <c r="AI96" s="9"/>
      <c r="AJ96" s="14">
        <f t="shared" si="7"/>
        <v>2.666666667</v>
      </c>
      <c r="AK96" s="9"/>
      <c r="AL96" s="23" t="s">
        <v>160</v>
      </c>
      <c r="AM96" s="15">
        <f t="shared" si="8"/>
        <v>2.652380952</v>
      </c>
      <c r="AN96" s="16" t="s">
        <v>161</v>
      </c>
    </row>
    <row r="97">
      <c r="A97" s="23" t="s">
        <v>162</v>
      </c>
      <c r="B97" s="6">
        <v>89.91</v>
      </c>
      <c r="C97" s="6">
        <v>4.0</v>
      </c>
      <c r="D97" s="6">
        <v>4.0</v>
      </c>
      <c r="E97" s="6">
        <v>3.0</v>
      </c>
      <c r="F97" s="6">
        <v>4.0</v>
      </c>
      <c r="G97" s="6">
        <v>1.0</v>
      </c>
      <c r="H97" s="6">
        <v>3.0</v>
      </c>
      <c r="I97" s="6">
        <v>2.0</v>
      </c>
      <c r="J97" s="6">
        <v>5.0</v>
      </c>
      <c r="K97" s="6">
        <v>5.0</v>
      </c>
      <c r="L97" s="6">
        <v>3.0</v>
      </c>
      <c r="M97" s="6">
        <v>3.0</v>
      </c>
      <c r="N97" s="6">
        <v>1.0</v>
      </c>
      <c r="O97" s="6">
        <v>4.0</v>
      </c>
      <c r="P97" s="6">
        <v>3.0</v>
      </c>
      <c r="Q97" s="6">
        <v>1.0</v>
      </c>
      <c r="R97" s="6">
        <v>3.0</v>
      </c>
      <c r="S97" s="6">
        <v>3.0</v>
      </c>
      <c r="T97" s="6">
        <v>4.0</v>
      </c>
      <c r="U97" s="6">
        <v>3.0</v>
      </c>
      <c r="V97" s="6">
        <v>4.0</v>
      </c>
      <c r="W97" s="7"/>
      <c r="X97" s="14">
        <f t="shared" si="1"/>
        <v>4</v>
      </c>
      <c r="Y97" s="9"/>
      <c r="Z97" s="14">
        <f t="shared" si="2"/>
        <v>2.6</v>
      </c>
      <c r="AA97" s="9"/>
      <c r="AB97" s="14">
        <f t="shared" si="3"/>
        <v>5</v>
      </c>
      <c r="AC97" s="9"/>
      <c r="AD97" s="14">
        <f t="shared" si="4"/>
        <v>2.333333333</v>
      </c>
      <c r="AE97" s="9"/>
      <c r="AF97" s="14">
        <f t="shared" si="5"/>
        <v>3.5</v>
      </c>
      <c r="AG97" s="9"/>
      <c r="AH97" s="14">
        <f t="shared" si="6"/>
        <v>2.333333333</v>
      </c>
      <c r="AI97" s="9"/>
      <c r="AJ97" s="14">
        <f t="shared" si="7"/>
        <v>3.666666667</v>
      </c>
      <c r="AK97" s="9"/>
      <c r="AL97" s="23" t="s">
        <v>162</v>
      </c>
      <c r="AM97" s="15">
        <f t="shared" si="8"/>
        <v>3.347619048</v>
      </c>
      <c r="AN97" s="6">
        <v>89.91</v>
      </c>
    </row>
    <row r="98">
      <c r="A98" s="23" t="s">
        <v>163</v>
      </c>
      <c r="B98" s="16" t="s">
        <v>164</v>
      </c>
      <c r="C98" s="6">
        <v>3.0</v>
      </c>
      <c r="D98" s="6">
        <v>3.0</v>
      </c>
      <c r="E98" s="6">
        <v>2.0</v>
      </c>
      <c r="F98" s="6">
        <v>3.0</v>
      </c>
      <c r="G98" s="6">
        <v>4.0</v>
      </c>
      <c r="H98" s="6">
        <v>2.0</v>
      </c>
      <c r="I98" s="6">
        <v>3.0</v>
      </c>
      <c r="J98" s="6">
        <v>4.0</v>
      </c>
      <c r="K98" s="6">
        <v>1.0</v>
      </c>
      <c r="L98" s="6">
        <v>5.0</v>
      </c>
      <c r="M98" s="6">
        <v>3.0</v>
      </c>
      <c r="N98" s="6">
        <v>4.0</v>
      </c>
      <c r="O98" s="6">
        <v>4.0</v>
      </c>
      <c r="P98" s="6">
        <v>3.0</v>
      </c>
      <c r="Q98" s="6">
        <v>3.0</v>
      </c>
      <c r="R98" s="6">
        <v>2.0</v>
      </c>
      <c r="S98" s="6">
        <v>3.0</v>
      </c>
      <c r="T98" s="6">
        <v>3.0</v>
      </c>
      <c r="U98" s="6">
        <v>4.0</v>
      </c>
      <c r="V98" s="6">
        <v>2.0</v>
      </c>
      <c r="W98" s="7"/>
      <c r="X98" s="14">
        <f t="shared" si="1"/>
        <v>3</v>
      </c>
      <c r="Y98" s="9"/>
      <c r="Z98" s="14">
        <f t="shared" si="2"/>
        <v>2.8</v>
      </c>
      <c r="AA98" s="9"/>
      <c r="AB98" s="14">
        <f t="shared" si="3"/>
        <v>2.5</v>
      </c>
      <c r="AC98" s="9"/>
      <c r="AD98" s="14">
        <f t="shared" si="4"/>
        <v>4</v>
      </c>
      <c r="AE98" s="9"/>
      <c r="AF98" s="14">
        <f t="shared" si="5"/>
        <v>3.5</v>
      </c>
      <c r="AG98" s="9"/>
      <c r="AH98" s="14">
        <f t="shared" si="6"/>
        <v>2.666666667</v>
      </c>
      <c r="AI98" s="9"/>
      <c r="AJ98" s="14">
        <f t="shared" si="7"/>
        <v>3</v>
      </c>
      <c r="AK98" s="9"/>
      <c r="AL98" s="23" t="s">
        <v>163</v>
      </c>
      <c r="AM98" s="15">
        <f t="shared" si="8"/>
        <v>3.066666667</v>
      </c>
      <c r="AN98" s="16" t="s">
        <v>164</v>
      </c>
    </row>
    <row r="99">
      <c r="A99" s="23" t="s">
        <v>165</v>
      </c>
      <c r="B99" s="6">
        <v>70.0</v>
      </c>
      <c r="C99" s="6">
        <v>5.0</v>
      </c>
      <c r="D99" s="6">
        <v>4.0</v>
      </c>
      <c r="E99" s="6">
        <v>4.0</v>
      </c>
      <c r="F99" s="6">
        <v>3.0</v>
      </c>
      <c r="G99" s="6">
        <v>5.0</v>
      </c>
      <c r="H99" s="6">
        <v>1.0</v>
      </c>
      <c r="I99" s="6">
        <v>5.0</v>
      </c>
      <c r="J99" s="6">
        <v>4.0</v>
      </c>
      <c r="K99" s="6">
        <v>4.0</v>
      </c>
      <c r="L99" s="6">
        <v>5.0</v>
      </c>
      <c r="M99" s="6">
        <v>5.0</v>
      </c>
      <c r="N99" s="6">
        <v>3.0</v>
      </c>
      <c r="O99" s="6">
        <v>5.0</v>
      </c>
      <c r="P99" s="6">
        <v>4.0</v>
      </c>
      <c r="Q99" s="6">
        <v>4.0</v>
      </c>
      <c r="R99" s="6">
        <v>3.0</v>
      </c>
      <c r="S99" s="6">
        <v>4.0</v>
      </c>
      <c r="T99" s="6">
        <v>4.0</v>
      </c>
      <c r="U99" s="6">
        <v>5.0</v>
      </c>
      <c r="V99" s="6">
        <v>4.0</v>
      </c>
      <c r="W99" s="7"/>
      <c r="X99" s="14">
        <f t="shared" si="1"/>
        <v>4.5</v>
      </c>
      <c r="Y99" s="9"/>
      <c r="Z99" s="14">
        <f t="shared" si="2"/>
        <v>3.6</v>
      </c>
      <c r="AA99" s="9"/>
      <c r="AB99" s="14">
        <f t="shared" si="3"/>
        <v>4</v>
      </c>
      <c r="AC99" s="9"/>
      <c r="AD99" s="14">
        <f t="shared" si="4"/>
        <v>4.333333333</v>
      </c>
      <c r="AE99" s="9"/>
      <c r="AF99" s="14">
        <f t="shared" si="5"/>
        <v>4.5</v>
      </c>
      <c r="AG99" s="9"/>
      <c r="AH99" s="14">
        <f t="shared" si="6"/>
        <v>3.666666667</v>
      </c>
      <c r="AI99" s="9"/>
      <c r="AJ99" s="14">
        <f t="shared" si="7"/>
        <v>4.333333333</v>
      </c>
      <c r="AK99" s="9"/>
      <c r="AL99" s="23" t="s">
        <v>165</v>
      </c>
      <c r="AM99" s="15">
        <f t="shared" si="8"/>
        <v>4.133333333</v>
      </c>
      <c r="AN99" s="6">
        <v>70.0</v>
      </c>
    </row>
    <row r="100">
      <c r="A100" s="23" t="s">
        <v>166</v>
      </c>
      <c r="B100" s="16" t="s">
        <v>167</v>
      </c>
      <c r="C100" s="6">
        <v>5.0</v>
      </c>
      <c r="D100" s="6">
        <v>1.0</v>
      </c>
      <c r="E100" s="6">
        <v>5.0</v>
      </c>
      <c r="F100" s="6">
        <v>1.0</v>
      </c>
      <c r="G100" s="6">
        <v>5.0</v>
      </c>
      <c r="H100" s="6">
        <v>3.0</v>
      </c>
      <c r="I100" s="6">
        <v>4.0</v>
      </c>
      <c r="J100" s="6">
        <v>2.0</v>
      </c>
      <c r="K100" s="6">
        <v>4.0</v>
      </c>
      <c r="L100" s="6">
        <v>3.0</v>
      </c>
      <c r="M100" s="6">
        <v>3.0</v>
      </c>
      <c r="N100" s="6">
        <v>2.0</v>
      </c>
      <c r="O100" s="6">
        <v>3.0</v>
      </c>
      <c r="P100" s="6">
        <v>2.0</v>
      </c>
      <c r="Q100" s="6">
        <v>3.0</v>
      </c>
      <c r="R100" s="6">
        <v>2.0</v>
      </c>
      <c r="S100" s="6">
        <v>5.0</v>
      </c>
      <c r="T100" s="6">
        <v>1.0</v>
      </c>
      <c r="U100" s="6">
        <v>5.0</v>
      </c>
      <c r="V100" s="6">
        <v>1.0</v>
      </c>
      <c r="W100" s="7"/>
      <c r="X100" s="14">
        <f t="shared" si="1"/>
        <v>3</v>
      </c>
      <c r="Y100" s="9"/>
      <c r="Z100" s="14">
        <f t="shared" si="2"/>
        <v>3.6</v>
      </c>
      <c r="AA100" s="9"/>
      <c r="AB100" s="14">
        <f t="shared" si="3"/>
        <v>3</v>
      </c>
      <c r="AC100" s="9"/>
      <c r="AD100" s="14">
        <f t="shared" si="4"/>
        <v>2.666666667</v>
      </c>
      <c r="AE100" s="9"/>
      <c r="AF100" s="14">
        <f t="shared" si="5"/>
        <v>2.5</v>
      </c>
      <c r="AG100" s="9"/>
      <c r="AH100" s="14">
        <f t="shared" si="6"/>
        <v>3.333333333</v>
      </c>
      <c r="AI100" s="9"/>
      <c r="AJ100" s="14">
        <f t="shared" si="7"/>
        <v>2.333333333</v>
      </c>
      <c r="AK100" s="9"/>
      <c r="AL100" s="23" t="s">
        <v>166</v>
      </c>
      <c r="AM100" s="15">
        <f t="shared" si="8"/>
        <v>2.919047619</v>
      </c>
      <c r="AN100" s="16" t="s">
        <v>167</v>
      </c>
    </row>
    <row r="101">
      <c r="A101" s="23" t="s">
        <v>168</v>
      </c>
      <c r="B101" s="6">
        <v>82.0</v>
      </c>
      <c r="C101" s="6">
        <v>3.0</v>
      </c>
      <c r="D101" s="6">
        <v>3.0</v>
      </c>
      <c r="E101" s="6">
        <v>2.0</v>
      </c>
      <c r="F101" s="6">
        <v>4.0</v>
      </c>
      <c r="G101" s="6">
        <v>3.0</v>
      </c>
      <c r="H101" s="6">
        <v>3.0</v>
      </c>
      <c r="I101" s="6">
        <v>2.0</v>
      </c>
      <c r="J101" s="6">
        <v>3.0</v>
      </c>
      <c r="K101" s="6">
        <v>4.0</v>
      </c>
      <c r="L101" s="6">
        <v>2.0</v>
      </c>
      <c r="M101" s="6">
        <v>4.0</v>
      </c>
      <c r="N101" s="6">
        <v>3.0</v>
      </c>
      <c r="O101" s="6">
        <v>3.0</v>
      </c>
      <c r="P101" s="6">
        <v>2.0</v>
      </c>
      <c r="Q101" s="6">
        <v>3.0</v>
      </c>
      <c r="R101" s="6">
        <v>3.0</v>
      </c>
      <c r="S101" s="6">
        <v>3.0</v>
      </c>
      <c r="T101" s="6">
        <v>2.0</v>
      </c>
      <c r="U101" s="6">
        <v>4.0</v>
      </c>
      <c r="V101" s="6">
        <v>2.0</v>
      </c>
      <c r="W101" s="7"/>
      <c r="X101" s="14">
        <f t="shared" si="1"/>
        <v>3</v>
      </c>
      <c r="Y101" s="9"/>
      <c r="Z101" s="14">
        <f t="shared" si="2"/>
        <v>2.8</v>
      </c>
      <c r="AA101" s="9"/>
      <c r="AB101" s="14">
        <f t="shared" si="3"/>
        <v>3.5</v>
      </c>
      <c r="AC101" s="9"/>
      <c r="AD101" s="14">
        <f t="shared" si="4"/>
        <v>3</v>
      </c>
      <c r="AE101" s="9"/>
      <c r="AF101" s="14">
        <f t="shared" si="5"/>
        <v>2.5</v>
      </c>
      <c r="AG101" s="9"/>
      <c r="AH101" s="14">
        <f t="shared" si="6"/>
        <v>3</v>
      </c>
      <c r="AI101" s="9"/>
      <c r="AJ101" s="14">
        <f t="shared" si="7"/>
        <v>2.666666667</v>
      </c>
      <c r="AK101" s="9"/>
      <c r="AL101" s="23" t="s">
        <v>168</v>
      </c>
      <c r="AM101" s="15">
        <f t="shared" si="8"/>
        <v>2.923809524</v>
      </c>
      <c r="AN101" s="6">
        <v>82.0</v>
      </c>
    </row>
    <row r="102">
      <c r="A102" s="24" t="s">
        <v>169</v>
      </c>
      <c r="B102" s="16" t="s">
        <v>170</v>
      </c>
      <c r="C102" s="20">
        <v>3.0</v>
      </c>
      <c r="D102" s="16">
        <v>2.0</v>
      </c>
      <c r="E102" s="6">
        <v>5.0</v>
      </c>
      <c r="F102" s="6">
        <v>3.0</v>
      </c>
      <c r="G102" s="6">
        <v>2.0</v>
      </c>
      <c r="H102" s="6">
        <v>2.0</v>
      </c>
      <c r="I102" s="6">
        <v>3.0</v>
      </c>
      <c r="J102" s="6">
        <v>5.0</v>
      </c>
      <c r="K102" s="6">
        <v>4.0</v>
      </c>
      <c r="L102" s="6">
        <v>3.0</v>
      </c>
      <c r="M102" s="6">
        <v>1.0</v>
      </c>
      <c r="N102" s="6">
        <v>5.0</v>
      </c>
      <c r="O102" s="6">
        <v>3.0</v>
      </c>
      <c r="P102" s="6">
        <v>3.0</v>
      </c>
      <c r="Q102" s="6">
        <v>5.0</v>
      </c>
      <c r="R102" s="6">
        <v>2.0</v>
      </c>
      <c r="S102" s="6">
        <v>4.0</v>
      </c>
      <c r="T102" s="6">
        <v>3.0</v>
      </c>
      <c r="U102" s="6">
        <v>2.0</v>
      </c>
      <c r="V102" s="6">
        <v>5.0</v>
      </c>
      <c r="W102" s="7"/>
      <c r="X102" s="14">
        <f t="shared" si="1"/>
        <v>2.5</v>
      </c>
      <c r="Y102" s="9"/>
      <c r="Z102" s="14">
        <f t="shared" si="2"/>
        <v>3</v>
      </c>
      <c r="AA102" s="9"/>
      <c r="AB102" s="14">
        <f t="shared" si="3"/>
        <v>4.5</v>
      </c>
      <c r="AC102" s="9"/>
      <c r="AD102" s="14">
        <f t="shared" si="4"/>
        <v>3</v>
      </c>
      <c r="AE102" s="9"/>
      <c r="AF102" s="14">
        <f t="shared" si="5"/>
        <v>3</v>
      </c>
      <c r="AG102" s="9"/>
      <c r="AH102" s="14">
        <f t="shared" si="6"/>
        <v>3.666666667</v>
      </c>
      <c r="AI102" s="9"/>
      <c r="AJ102" s="14">
        <f t="shared" si="7"/>
        <v>3.333333333</v>
      </c>
      <c r="AK102" s="9"/>
      <c r="AL102" s="24" t="s">
        <v>169</v>
      </c>
      <c r="AM102" s="15">
        <f t="shared" si="8"/>
        <v>3.285714286</v>
      </c>
      <c r="AN102" s="16" t="s">
        <v>170</v>
      </c>
    </row>
    <row r="103">
      <c r="A103" s="24" t="s">
        <v>171</v>
      </c>
      <c r="B103" s="16" t="s">
        <v>172</v>
      </c>
      <c r="C103" s="6">
        <v>2.0</v>
      </c>
      <c r="D103" s="6">
        <v>4.0</v>
      </c>
      <c r="E103" s="6">
        <v>2.0</v>
      </c>
      <c r="F103" s="6">
        <v>4.0</v>
      </c>
      <c r="G103" s="6">
        <v>1.0</v>
      </c>
      <c r="H103" s="6">
        <v>2.0</v>
      </c>
      <c r="I103" s="6">
        <v>3.0</v>
      </c>
      <c r="J103" s="6">
        <v>4.0</v>
      </c>
      <c r="K103" s="6">
        <v>3.0</v>
      </c>
      <c r="L103" s="6">
        <v>4.0</v>
      </c>
      <c r="M103" s="6">
        <v>3.0</v>
      </c>
      <c r="N103" s="6">
        <v>3.0</v>
      </c>
      <c r="O103" s="6">
        <v>2.0</v>
      </c>
      <c r="P103" s="6">
        <v>2.0</v>
      </c>
      <c r="Q103" s="6">
        <v>2.0</v>
      </c>
      <c r="R103" s="6">
        <v>3.0</v>
      </c>
      <c r="S103" s="6">
        <v>2.0</v>
      </c>
      <c r="T103" s="6">
        <v>3.0</v>
      </c>
      <c r="U103" s="6">
        <v>3.0</v>
      </c>
      <c r="V103" s="6">
        <v>4.0</v>
      </c>
      <c r="W103" s="7"/>
      <c r="X103" s="14">
        <f t="shared" si="1"/>
        <v>3</v>
      </c>
      <c r="Y103" s="9"/>
      <c r="Z103" s="14">
        <f t="shared" si="2"/>
        <v>2.4</v>
      </c>
      <c r="AA103" s="9"/>
      <c r="AB103" s="14">
        <f t="shared" si="3"/>
        <v>3.5</v>
      </c>
      <c r="AC103" s="9"/>
      <c r="AD103" s="14">
        <f t="shared" si="4"/>
        <v>3.333333333</v>
      </c>
      <c r="AE103" s="9"/>
      <c r="AF103" s="14">
        <f t="shared" si="5"/>
        <v>2</v>
      </c>
      <c r="AG103" s="9"/>
      <c r="AH103" s="14">
        <f t="shared" si="6"/>
        <v>2.333333333</v>
      </c>
      <c r="AI103" s="9"/>
      <c r="AJ103" s="14">
        <f t="shared" si="7"/>
        <v>3.333333333</v>
      </c>
      <c r="AK103" s="9"/>
      <c r="AL103" s="24" t="s">
        <v>171</v>
      </c>
      <c r="AM103" s="15">
        <f t="shared" si="8"/>
        <v>2.842857143</v>
      </c>
      <c r="AN103" s="16" t="s">
        <v>172</v>
      </c>
    </row>
    <row r="104">
      <c r="A104" s="24" t="s">
        <v>173</v>
      </c>
      <c r="B104" s="6">
        <v>84.0</v>
      </c>
      <c r="C104" s="6">
        <v>4.0</v>
      </c>
      <c r="D104" s="6">
        <v>3.0</v>
      </c>
      <c r="E104" s="6">
        <v>4.0</v>
      </c>
      <c r="F104" s="6">
        <v>2.0</v>
      </c>
      <c r="G104" s="6">
        <v>4.0</v>
      </c>
      <c r="H104" s="6">
        <v>3.0</v>
      </c>
      <c r="I104" s="6">
        <v>3.0</v>
      </c>
      <c r="J104" s="6">
        <v>4.0</v>
      </c>
      <c r="K104" s="6">
        <v>3.0</v>
      </c>
      <c r="L104" s="6">
        <v>4.0</v>
      </c>
      <c r="M104" s="6">
        <v>3.0</v>
      </c>
      <c r="N104" s="6">
        <v>3.0</v>
      </c>
      <c r="O104" s="6">
        <v>2.0</v>
      </c>
      <c r="P104" s="6">
        <v>3.0</v>
      </c>
      <c r="Q104" s="6">
        <v>2.0</v>
      </c>
      <c r="R104" s="6">
        <v>3.0</v>
      </c>
      <c r="S104" s="6">
        <v>3.0</v>
      </c>
      <c r="T104" s="6">
        <v>2.0</v>
      </c>
      <c r="U104" s="6">
        <v>2.0</v>
      </c>
      <c r="V104" s="6">
        <v>3.0</v>
      </c>
      <c r="W104" s="7"/>
      <c r="X104" s="14">
        <f t="shared" si="1"/>
        <v>3.5</v>
      </c>
      <c r="Y104" s="9"/>
      <c r="Z104" s="14">
        <f t="shared" si="2"/>
        <v>3.2</v>
      </c>
      <c r="AA104" s="9"/>
      <c r="AB104" s="14">
        <f t="shared" si="3"/>
        <v>3.5</v>
      </c>
      <c r="AC104" s="9"/>
      <c r="AD104" s="14">
        <f t="shared" si="4"/>
        <v>3.333333333</v>
      </c>
      <c r="AE104" s="9"/>
      <c r="AF104" s="14">
        <f t="shared" si="5"/>
        <v>2.5</v>
      </c>
      <c r="AG104" s="9"/>
      <c r="AH104" s="14">
        <f t="shared" si="6"/>
        <v>2.666666667</v>
      </c>
      <c r="AI104" s="9"/>
      <c r="AJ104" s="14">
        <f t="shared" si="7"/>
        <v>2.333333333</v>
      </c>
      <c r="AK104" s="9"/>
      <c r="AL104" s="24" t="s">
        <v>173</v>
      </c>
      <c r="AM104" s="15">
        <f t="shared" si="8"/>
        <v>3.004761905</v>
      </c>
      <c r="AN104" s="6">
        <v>84.0</v>
      </c>
    </row>
    <row r="105">
      <c r="A105" s="24" t="s">
        <v>174</v>
      </c>
      <c r="B105" s="6">
        <v>90.0</v>
      </c>
      <c r="C105" s="6">
        <v>2.0</v>
      </c>
      <c r="D105" s="6">
        <v>5.0</v>
      </c>
      <c r="E105" s="6">
        <v>3.0</v>
      </c>
      <c r="F105" s="6">
        <v>3.0</v>
      </c>
      <c r="G105" s="6">
        <v>1.0</v>
      </c>
      <c r="H105" s="6">
        <v>2.0</v>
      </c>
      <c r="I105" s="6">
        <v>1.0</v>
      </c>
      <c r="J105" s="6">
        <v>3.0</v>
      </c>
      <c r="K105" s="6">
        <v>1.0</v>
      </c>
      <c r="L105" s="6">
        <v>3.0</v>
      </c>
      <c r="M105" s="6">
        <v>1.0</v>
      </c>
      <c r="N105" s="6">
        <v>2.0</v>
      </c>
      <c r="O105" s="6">
        <v>3.0</v>
      </c>
      <c r="P105" s="6">
        <v>2.0</v>
      </c>
      <c r="Q105" s="6">
        <v>1.0</v>
      </c>
      <c r="R105" s="6">
        <v>4.0</v>
      </c>
      <c r="S105" s="6">
        <v>1.0</v>
      </c>
      <c r="T105" s="6">
        <v>2.0</v>
      </c>
      <c r="U105" s="6">
        <v>2.0</v>
      </c>
      <c r="V105" s="6">
        <v>3.0</v>
      </c>
      <c r="W105" s="7"/>
      <c r="X105" s="14">
        <f t="shared" si="1"/>
        <v>3.5</v>
      </c>
      <c r="Y105" s="9"/>
      <c r="Z105" s="14">
        <f t="shared" si="2"/>
        <v>2</v>
      </c>
      <c r="AA105" s="9"/>
      <c r="AB105" s="14">
        <f t="shared" si="3"/>
        <v>2</v>
      </c>
      <c r="AC105" s="9"/>
      <c r="AD105" s="14">
        <f t="shared" si="4"/>
        <v>2</v>
      </c>
      <c r="AE105" s="9"/>
      <c r="AF105" s="14">
        <f t="shared" si="5"/>
        <v>2.5</v>
      </c>
      <c r="AG105" s="9"/>
      <c r="AH105" s="14">
        <f t="shared" si="6"/>
        <v>2</v>
      </c>
      <c r="AI105" s="9"/>
      <c r="AJ105" s="14">
        <f t="shared" si="7"/>
        <v>2.333333333</v>
      </c>
      <c r="AK105" s="9"/>
      <c r="AL105" s="24" t="s">
        <v>174</v>
      </c>
      <c r="AM105" s="15">
        <f t="shared" si="8"/>
        <v>2.333333333</v>
      </c>
      <c r="AN105" s="6">
        <v>90.0</v>
      </c>
    </row>
    <row r="106">
      <c r="A106" s="24" t="s">
        <v>175</v>
      </c>
      <c r="B106" s="16">
        <v>80.0</v>
      </c>
      <c r="C106" s="6">
        <v>3.0</v>
      </c>
      <c r="D106" s="6">
        <v>3.0</v>
      </c>
      <c r="E106" s="6">
        <v>2.0</v>
      </c>
      <c r="F106" s="6">
        <v>4.0</v>
      </c>
      <c r="G106" s="6">
        <v>3.0</v>
      </c>
      <c r="H106" s="6">
        <v>2.0</v>
      </c>
      <c r="I106" s="6">
        <v>3.0</v>
      </c>
      <c r="J106" s="6">
        <v>3.0</v>
      </c>
      <c r="K106" s="6">
        <v>2.0</v>
      </c>
      <c r="L106" s="6">
        <v>4.0</v>
      </c>
      <c r="M106" s="6">
        <v>2.0</v>
      </c>
      <c r="N106" s="6">
        <v>3.0</v>
      </c>
      <c r="O106" s="6">
        <v>3.0</v>
      </c>
      <c r="P106" s="6">
        <v>2.0</v>
      </c>
      <c r="Q106" s="6">
        <v>2.0</v>
      </c>
      <c r="R106" s="6">
        <v>3.0</v>
      </c>
      <c r="S106" s="6">
        <v>3.0</v>
      </c>
      <c r="T106" s="6">
        <v>3.0</v>
      </c>
      <c r="U106" s="6">
        <v>2.0</v>
      </c>
      <c r="V106" s="6">
        <v>3.0</v>
      </c>
      <c r="W106" s="7"/>
      <c r="X106" s="14">
        <f t="shared" si="1"/>
        <v>3</v>
      </c>
      <c r="Y106" s="9"/>
      <c r="Z106" s="14">
        <f t="shared" si="2"/>
        <v>2.8</v>
      </c>
      <c r="AA106" s="9"/>
      <c r="AB106" s="14">
        <f t="shared" si="3"/>
        <v>2.5</v>
      </c>
      <c r="AC106" s="9"/>
      <c r="AD106" s="14">
        <f t="shared" si="4"/>
        <v>3</v>
      </c>
      <c r="AE106" s="9"/>
      <c r="AF106" s="14">
        <f t="shared" si="5"/>
        <v>2.5</v>
      </c>
      <c r="AG106" s="9"/>
      <c r="AH106" s="14">
        <f t="shared" si="6"/>
        <v>2.666666667</v>
      </c>
      <c r="AI106" s="9"/>
      <c r="AJ106" s="14">
        <f t="shared" si="7"/>
        <v>2.666666667</v>
      </c>
      <c r="AK106" s="9"/>
      <c r="AL106" s="24" t="s">
        <v>175</v>
      </c>
      <c r="AM106" s="15">
        <f t="shared" si="8"/>
        <v>2.733333333</v>
      </c>
      <c r="AN106" s="16">
        <v>80.0</v>
      </c>
    </row>
    <row r="107">
      <c r="A107" s="24" t="s">
        <v>176</v>
      </c>
      <c r="B107" s="16" t="s">
        <v>177</v>
      </c>
      <c r="C107" s="6">
        <v>3.0</v>
      </c>
      <c r="D107" s="6">
        <v>4.0</v>
      </c>
      <c r="E107" s="6">
        <v>4.0</v>
      </c>
      <c r="F107" s="6">
        <v>4.0</v>
      </c>
      <c r="G107" s="6">
        <v>3.0</v>
      </c>
      <c r="H107" s="6">
        <v>5.0</v>
      </c>
      <c r="I107" s="6">
        <v>5.0</v>
      </c>
      <c r="J107" s="6">
        <v>4.0</v>
      </c>
      <c r="K107" s="6">
        <v>3.0</v>
      </c>
      <c r="L107" s="6">
        <v>4.0</v>
      </c>
      <c r="M107" s="6">
        <v>4.0</v>
      </c>
      <c r="N107" s="6">
        <v>4.0</v>
      </c>
      <c r="O107" s="6">
        <v>2.0</v>
      </c>
      <c r="P107" s="6">
        <v>1.0</v>
      </c>
      <c r="Q107" s="6">
        <v>2.0</v>
      </c>
      <c r="R107" s="6">
        <v>3.0</v>
      </c>
      <c r="S107" s="6">
        <v>2.0</v>
      </c>
      <c r="T107" s="6">
        <v>2.0</v>
      </c>
      <c r="U107" s="6">
        <v>5.0</v>
      </c>
      <c r="V107" s="6">
        <v>2.0</v>
      </c>
      <c r="W107" s="7"/>
      <c r="X107" s="14">
        <f t="shared" si="1"/>
        <v>3.5</v>
      </c>
      <c r="Y107" s="9"/>
      <c r="Z107" s="14">
        <f t="shared" si="2"/>
        <v>4.2</v>
      </c>
      <c r="AA107" s="9"/>
      <c r="AB107" s="14">
        <f t="shared" si="3"/>
        <v>3.5</v>
      </c>
      <c r="AC107" s="9"/>
      <c r="AD107" s="14">
        <f t="shared" si="4"/>
        <v>4</v>
      </c>
      <c r="AE107" s="9"/>
      <c r="AF107" s="14">
        <f t="shared" si="5"/>
        <v>1.5</v>
      </c>
      <c r="AG107" s="9"/>
      <c r="AH107" s="14">
        <f t="shared" si="6"/>
        <v>2.333333333</v>
      </c>
      <c r="AI107" s="9"/>
      <c r="AJ107" s="14">
        <f t="shared" si="7"/>
        <v>3</v>
      </c>
      <c r="AK107" s="9"/>
      <c r="AL107" s="24" t="s">
        <v>176</v>
      </c>
      <c r="AM107" s="15">
        <f t="shared" si="8"/>
        <v>3.147619048</v>
      </c>
      <c r="AN107" s="16" t="s">
        <v>177</v>
      </c>
    </row>
    <row r="108">
      <c r="A108" s="24" t="s">
        <v>178</v>
      </c>
      <c r="B108" s="6">
        <v>89.3</v>
      </c>
      <c r="C108" s="6">
        <v>4.0</v>
      </c>
      <c r="D108" s="6">
        <v>3.0</v>
      </c>
      <c r="E108" s="6">
        <v>3.0</v>
      </c>
      <c r="F108" s="6">
        <v>4.0</v>
      </c>
      <c r="G108" s="6">
        <v>1.0</v>
      </c>
      <c r="H108" s="6">
        <v>2.0</v>
      </c>
      <c r="I108" s="6">
        <v>5.0</v>
      </c>
      <c r="J108" s="6">
        <v>3.0</v>
      </c>
      <c r="K108" s="6">
        <v>1.0</v>
      </c>
      <c r="L108" s="6">
        <v>4.0</v>
      </c>
      <c r="M108" s="6">
        <v>4.0</v>
      </c>
      <c r="N108" s="6">
        <v>4.0</v>
      </c>
      <c r="O108" s="6">
        <v>4.0</v>
      </c>
      <c r="P108" s="6">
        <v>2.0</v>
      </c>
      <c r="Q108" s="6">
        <v>3.0</v>
      </c>
      <c r="R108" s="6">
        <v>1.0</v>
      </c>
      <c r="S108" s="6">
        <v>3.0</v>
      </c>
      <c r="T108" s="6">
        <v>1.0</v>
      </c>
      <c r="U108" s="6">
        <v>4.0</v>
      </c>
      <c r="V108" s="6">
        <v>2.0</v>
      </c>
      <c r="W108" s="7"/>
      <c r="X108" s="14">
        <f t="shared" si="1"/>
        <v>3.5</v>
      </c>
      <c r="Y108" s="9"/>
      <c r="Z108" s="14">
        <f t="shared" si="2"/>
        <v>3</v>
      </c>
      <c r="AA108" s="9"/>
      <c r="AB108" s="14">
        <f t="shared" si="3"/>
        <v>2</v>
      </c>
      <c r="AC108" s="9"/>
      <c r="AD108" s="14">
        <f t="shared" si="4"/>
        <v>4</v>
      </c>
      <c r="AE108" s="9"/>
      <c r="AF108" s="14">
        <f t="shared" si="5"/>
        <v>3</v>
      </c>
      <c r="AG108" s="9"/>
      <c r="AH108" s="14">
        <f t="shared" si="6"/>
        <v>2.333333333</v>
      </c>
      <c r="AI108" s="9"/>
      <c r="AJ108" s="14">
        <f t="shared" si="7"/>
        <v>2.333333333</v>
      </c>
      <c r="AK108" s="9"/>
      <c r="AL108" s="24" t="s">
        <v>178</v>
      </c>
      <c r="AM108" s="15">
        <f t="shared" si="8"/>
        <v>2.880952381</v>
      </c>
      <c r="AN108" s="6">
        <v>89.3</v>
      </c>
    </row>
    <row r="109">
      <c r="A109" s="24" t="s">
        <v>179</v>
      </c>
      <c r="B109" s="16" t="s">
        <v>180</v>
      </c>
      <c r="C109" s="6">
        <v>3.0</v>
      </c>
      <c r="D109" s="6">
        <v>4.0</v>
      </c>
      <c r="E109" s="6">
        <v>3.0</v>
      </c>
      <c r="F109" s="6">
        <v>3.0</v>
      </c>
      <c r="G109" s="6">
        <v>3.0</v>
      </c>
      <c r="H109" s="6">
        <v>2.0</v>
      </c>
      <c r="I109" s="6">
        <v>2.0</v>
      </c>
      <c r="J109" s="6">
        <v>4.0</v>
      </c>
      <c r="K109" s="6">
        <v>1.0</v>
      </c>
      <c r="L109" s="6">
        <v>4.0</v>
      </c>
      <c r="M109" s="6">
        <v>2.0</v>
      </c>
      <c r="N109" s="6">
        <v>2.0</v>
      </c>
      <c r="O109" s="6">
        <v>3.0</v>
      </c>
      <c r="P109" s="6">
        <v>3.0</v>
      </c>
      <c r="Q109" s="6">
        <v>3.0</v>
      </c>
      <c r="R109" s="6">
        <v>2.0</v>
      </c>
      <c r="S109" s="6">
        <v>4.0</v>
      </c>
      <c r="T109" s="6">
        <v>3.0</v>
      </c>
      <c r="U109" s="6">
        <v>4.0</v>
      </c>
      <c r="V109" s="6">
        <v>4.0</v>
      </c>
      <c r="W109" s="7"/>
      <c r="X109" s="14">
        <f t="shared" si="1"/>
        <v>3.5</v>
      </c>
      <c r="Y109" s="9"/>
      <c r="Z109" s="14">
        <f t="shared" si="2"/>
        <v>2.6</v>
      </c>
      <c r="AA109" s="9"/>
      <c r="AB109" s="14">
        <f t="shared" si="3"/>
        <v>2.5</v>
      </c>
      <c r="AC109" s="9"/>
      <c r="AD109" s="14">
        <f t="shared" si="4"/>
        <v>2.666666667</v>
      </c>
      <c r="AE109" s="9"/>
      <c r="AF109" s="14">
        <f t="shared" si="5"/>
        <v>3</v>
      </c>
      <c r="AG109" s="9"/>
      <c r="AH109" s="14">
        <f t="shared" si="6"/>
        <v>3</v>
      </c>
      <c r="AI109" s="9"/>
      <c r="AJ109" s="14">
        <f t="shared" si="7"/>
        <v>3.666666667</v>
      </c>
      <c r="AK109" s="9"/>
      <c r="AL109" s="24" t="s">
        <v>179</v>
      </c>
      <c r="AM109" s="15">
        <f t="shared" si="8"/>
        <v>2.99047619</v>
      </c>
      <c r="AN109" s="16" t="s">
        <v>180</v>
      </c>
    </row>
    <row r="110">
      <c r="A110" s="24" t="s">
        <v>181</v>
      </c>
      <c r="B110" s="16">
        <v>79.0</v>
      </c>
      <c r="C110" s="6">
        <v>4.0</v>
      </c>
      <c r="D110" s="6">
        <v>4.0</v>
      </c>
      <c r="E110" s="6">
        <v>4.0</v>
      </c>
      <c r="F110" s="6">
        <v>3.0</v>
      </c>
      <c r="G110" s="6">
        <v>3.0</v>
      </c>
      <c r="H110" s="6">
        <v>4.0</v>
      </c>
      <c r="I110" s="6">
        <v>4.0</v>
      </c>
      <c r="J110" s="6">
        <v>4.0</v>
      </c>
      <c r="K110" s="6">
        <v>2.0</v>
      </c>
      <c r="L110" s="6">
        <v>4.0</v>
      </c>
      <c r="M110" s="6">
        <v>4.0</v>
      </c>
      <c r="N110" s="6">
        <v>4.0</v>
      </c>
      <c r="O110" s="6">
        <v>3.0</v>
      </c>
      <c r="P110" s="6">
        <v>4.0</v>
      </c>
      <c r="Q110" s="6">
        <v>3.0</v>
      </c>
      <c r="R110" s="6">
        <v>3.0</v>
      </c>
      <c r="S110" s="6">
        <v>3.0</v>
      </c>
      <c r="T110" s="6">
        <v>3.0</v>
      </c>
      <c r="U110" s="6">
        <v>4.0</v>
      </c>
      <c r="V110" s="6">
        <v>3.0</v>
      </c>
      <c r="W110" s="7"/>
      <c r="X110" s="14">
        <f t="shared" si="1"/>
        <v>4</v>
      </c>
      <c r="Y110" s="9"/>
      <c r="Z110" s="14">
        <f t="shared" si="2"/>
        <v>3.6</v>
      </c>
      <c r="AA110" s="9"/>
      <c r="AB110" s="14">
        <f t="shared" si="3"/>
        <v>3</v>
      </c>
      <c r="AC110" s="9"/>
      <c r="AD110" s="14">
        <f t="shared" si="4"/>
        <v>4</v>
      </c>
      <c r="AE110" s="9"/>
      <c r="AF110" s="14">
        <f t="shared" si="5"/>
        <v>3.5</v>
      </c>
      <c r="AG110" s="9"/>
      <c r="AH110" s="14">
        <f t="shared" si="6"/>
        <v>3</v>
      </c>
      <c r="AI110" s="9"/>
      <c r="AJ110" s="14">
        <f t="shared" si="7"/>
        <v>3.333333333</v>
      </c>
      <c r="AK110" s="9"/>
      <c r="AL110" s="24" t="s">
        <v>181</v>
      </c>
      <c r="AM110" s="15">
        <f t="shared" si="8"/>
        <v>3.49047619</v>
      </c>
      <c r="AN110" s="16">
        <v>79.0</v>
      </c>
    </row>
    <row r="111">
      <c r="A111" s="24" t="s">
        <v>182</v>
      </c>
      <c r="B111" s="16" t="s">
        <v>183</v>
      </c>
      <c r="C111" s="6">
        <v>4.0</v>
      </c>
      <c r="D111" s="6">
        <v>3.0</v>
      </c>
      <c r="E111" s="6">
        <v>4.0</v>
      </c>
      <c r="F111" s="6">
        <v>3.0</v>
      </c>
      <c r="G111" s="6">
        <v>4.0</v>
      </c>
      <c r="H111" s="6">
        <v>3.0</v>
      </c>
      <c r="I111" s="6">
        <v>4.0</v>
      </c>
      <c r="J111" s="6">
        <v>3.0</v>
      </c>
      <c r="K111" s="6">
        <v>3.0</v>
      </c>
      <c r="L111" s="6">
        <v>3.0</v>
      </c>
      <c r="M111" s="6">
        <v>4.0</v>
      </c>
      <c r="N111" s="6">
        <v>1.0</v>
      </c>
      <c r="O111" s="6">
        <v>4.0</v>
      </c>
      <c r="P111" s="6">
        <v>3.0</v>
      </c>
      <c r="Q111" s="6">
        <v>4.0</v>
      </c>
      <c r="R111" s="6">
        <v>3.0</v>
      </c>
      <c r="S111" s="6">
        <v>4.0</v>
      </c>
      <c r="T111" s="6">
        <v>3.0</v>
      </c>
      <c r="U111" s="6">
        <v>4.0</v>
      </c>
      <c r="V111" s="6">
        <v>3.0</v>
      </c>
      <c r="W111" s="7"/>
      <c r="X111" s="14">
        <f t="shared" si="1"/>
        <v>3.5</v>
      </c>
      <c r="Y111" s="9"/>
      <c r="Z111" s="14">
        <f t="shared" si="2"/>
        <v>3.6</v>
      </c>
      <c r="AA111" s="9"/>
      <c r="AB111" s="14">
        <f t="shared" si="3"/>
        <v>3</v>
      </c>
      <c r="AC111" s="9"/>
      <c r="AD111" s="14">
        <f t="shared" si="4"/>
        <v>2.666666667</v>
      </c>
      <c r="AE111" s="9"/>
      <c r="AF111" s="14">
        <f t="shared" si="5"/>
        <v>3.5</v>
      </c>
      <c r="AG111" s="9"/>
      <c r="AH111" s="14">
        <f t="shared" si="6"/>
        <v>3.666666667</v>
      </c>
      <c r="AI111" s="9"/>
      <c r="AJ111" s="14">
        <f t="shared" si="7"/>
        <v>3.333333333</v>
      </c>
      <c r="AK111" s="9"/>
      <c r="AL111" s="24" t="s">
        <v>182</v>
      </c>
      <c r="AM111" s="15">
        <f t="shared" si="8"/>
        <v>3.323809524</v>
      </c>
      <c r="AN111" s="16" t="s">
        <v>183</v>
      </c>
    </row>
    <row r="112">
      <c r="A112" s="24" t="s">
        <v>184</v>
      </c>
      <c r="B112" s="16" t="s">
        <v>185</v>
      </c>
      <c r="C112" s="6">
        <v>3.0</v>
      </c>
      <c r="D112" s="6">
        <v>2.0</v>
      </c>
      <c r="E112" s="6">
        <v>2.0</v>
      </c>
      <c r="F112" s="6">
        <v>2.0</v>
      </c>
      <c r="G112" s="6">
        <v>2.0</v>
      </c>
      <c r="H112" s="6">
        <v>2.0</v>
      </c>
      <c r="I112" s="6">
        <v>2.0</v>
      </c>
      <c r="J112" s="6">
        <v>4.0</v>
      </c>
      <c r="K112" s="6">
        <v>1.0</v>
      </c>
      <c r="L112" s="6">
        <v>3.0</v>
      </c>
      <c r="M112" s="6">
        <v>3.0</v>
      </c>
      <c r="N112" s="6">
        <v>2.0</v>
      </c>
      <c r="O112" s="6">
        <v>2.0</v>
      </c>
      <c r="P112" s="6">
        <v>2.0</v>
      </c>
      <c r="Q112" s="6">
        <v>2.0</v>
      </c>
      <c r="R112" s="6">
        <v>3.0</v>
      </c>
      <c r="S112" s="6">
        <v>3.0</v>
      </c>
      <c r="T112" s="6">
        <v>3.0</v>
      </c>
      <c r="U112" s="6">
        <v>2.0</v>
      </c>
      <c r="V112" s="6">
        <v>3.0</v>
      </c>
      <c r="W112" s="7"/>
      <c r="X112" s="14">
        <f t="shared" si="1"/>
        <v>2.5</v>
      </c>
      <c r="Y112" s="9"/>
      <c r="Z112" s="14">
        <f t="shared" si="2"/>
        <v>2</v>
      </c>
      <c r="AA112" s="9"/>
      <c r="AB112" s="14">
        <f t="shared" si="3"/>
        <v>2.5</v>
      </c>
      <c r="AC112" s="9"/>
      <c r="AD112" s="14">
        <f t="shared" si="4"/>
        <v>2.666666667</v>
      </c>
      <c r="AE112" s="9"/>
      <c r="AF112" s="14">
        <f t="shared" si="5"/>
        <v>2</v>
      </c>
      <c r="AG112" s="9"/>
      <c r="AH112" s="14">
        <f t="shared" si="6"/>
        <v>2.666666667</v>
      </c>
      <c r="AI112" s="9"/>
      <c r="AJ112" s="14">
        <f t="shared" si="7"/>
        <v>2.666666667</v>
      </c>
      <c r="AK112" s="9"/>
      <c r="AL112" s="24" t="s">
        <v>184</v>
      </c>
      <c r="AM112" s="15">
        <f t="shared" si="8"/>
        <v>2.428571429</v>
      </c>
      <c r="AN112" s="16" t="s">
        <v>185</v>
      </c>
    </row>
    <row r="113">
      <c r="A113" s="24" t="s">
        <v>186</v>
      </c>
      <c r="B113" s="16" t="s">
        <v>187</v>
      </c>
      <c r="C113" s="6">
        <v>3.0</v>
      </c>
      <c r="D113" s="6">
        <v>2.0</v>
      </c>
      <c r="E113" s="6">
        <v>2.0</v>
      </c>
      <c r="F113" s="6">
        <v>3.0</v>
      </c>
      <c r="G113" s="6">
        <v>4.0</v>
      </c>
      <c r="H113" s="6">
        <v>1.0</v>
      </c>
      <c r="I113" s="6">
        <v>3.0</v>
      </c>
      <c r="J113" s="6">
        <v>5.0</v>
      </c>
      <c r="K113" s="6">
        <v>2.0</v>
      </c>
      <c r="L113" s="6">
        <v>3.0</v>
      </c>
      <c r="M113" s="6">
        <v>4.0</v>
      </c>
      <c r="N113" s="6">
        <v>1.0</v>
      </c>
      <c r="O113" s="6">
        <v>4.0</v>
      </c>
      <c r="P113" s="6">
        <v>4.0</v>
      </c>
      <c r="Q113" s="6">
        <v>5.0</v>
      </c>
      <c r="R113" s="6">
        <v>3.0</v>
      </c>
      <c r="S113" s="6">
        <v>5.0</v>
      </c>
      <c r="T113" s="6">
        <v>4.0</v>
      </c>
      <c r="U113" s="6">
        <v>5.0</v>
      </c>
      <c r="V113" s="6">
        <v>1.0</v>
      </c>
      <c r="W113" s="7"/>
      <c r="X113" s="14">
        <f t="shared" si="1"/>
        <v>2.5</v>
      </c>
      <c r="Y113" s="9"/>
      <c r="Z113" s="14">
        <f t="shared" si="2"/>
        <v>2.6</v>
      </c>
      <c r="AA113" s="9"/>
      <c r="AB113" s="14">
        <f t="shared" si="3"/>
        <v>3.5</v>
      </c>
      <c r="AC113" s="9"/>
      <c r="AD113" s="14">
        <f t="shared" si="4"/>
        <v>2.666666667</v>
      </c>
      <c r="AE113" s="9"/>
      <c r="AF113" s="14">
        <f t="shared" si="5"/>
        <v>4</v>
      </c>
      <c r="AG113" s="9"/>
      <c r="AH113" s="14">
        <f t="shared" si="6"/>
        <v>4.333333333</v>
      </c>
      <c r="AI113" s="9"/>
      <c r="AJ113" s="14">
        <f t="shared" si="7"/>
        <v>3.333333333</v>
      </c>
      <c r="AK113" s="9"/>
      <c r="AL113" s="24" t="s">
        <v>186</v>
      </c>
      <c r="AM113" s="15">
        <f t="shared" si="8"/>
        <v>3.276190476</v>
      </c>
      <c r="AN113" s="16" t="s">
        <v>187</v>
      </c>
    </row>
    <row r="114">
      <c r="A114" s="24" t="s">
        <v>188</v>
      </c>
      <c r="B114" s="16" t="s">
        <v>189</v>
      </c>
      <c r="C114" s="6">
        <v>3.0</v>
      </c>
      <c r="D114" s="6">
        <v>3.0</v>
      </c>
      <c r="E114" s="6">
        <v>3.0</v>
      </c>
      <c r="F114" s="6">
        <v>2.0</v>
      </c>
      <c r="G114" s="6">
        <v>2.0</v>
      </c>
      <c r="H114" s="6">
        <v>3.0</v>
      </c>
      <c r="I114" s="6">
        <v>2.0</v>
      </c>
      <c r="J114" s="6">
        <v>3.0</v>
      </c>
      <c r="K114" s="6">
        <v>2.0</v>
      </c>
      <c r="L114" s="6">
        <v>4.0</v>
      </c>
      <c r="M114" s="6">
        <v>3.0</v>
      </c>
      <c r="N114" s="6">
        <v>3.0</v>
      </c>
      <c r="O114" s="6">
        <v>2.0</v>
      </c>
      <c r="P114" s="6">
        <v>3.0</v>
      </c>
      <c r="Q114" s="6">
        <v>4.0</v>
      </c>
      <c r="R114" s="6">
        <v>3.0</v>
      </c>
      <c r="S114" s="6">
        <v>2.0</v>
      </c>
      <c r="T114" s="6">
        <v>3.0</v>
      </c>
      <c r="U114" s="6">
        <v>2.0</v>
      </c>
      <c r="V114" s="6">
        <v>3.0</v>
      </c>
      <c r="W114" s="7"/>
      <c r="X114" s="14">
        <f t="shared" si="1"/>
        <v>3</v>
      </c>
      <c r="Y114" s="9"/>
      <c r="Z114" s="14">
        <f t="shared" si="2"/>
        <v>2.4</v>
      </c>
      <c r="AA114" s="9"/>
      <c r="AB114" s="14">
        <f t="shared" si="3"/>
        <v>2.5</v>
      </c>
      <c r="AC114" s="9"/>
      <c r="AD114" s="14">
        <f t="shared" si="4"/>
        <v>3.333333333</v>
      </c>
      <c r="AE114" s="9"/>
      <c r="AF114" s="14">
        <f t="shared" si="5"/>
        <v>2.5</v>
      </c>
      <c r="AG114" s="9"/>
      <c r="AH114" s="14">
        <f t="shared" si="6"/>
        <v>3</v>
      </c>
      <c r="AI114" s="9"/>
      <c r="AJ114" s="14">
        <f t="shared" si="7"/>
        <v>2.666666667</v>
      </c>
      <c r="AK114" s="9"/>
      <c r="AL114" s="24" t="s">
        <v>188</v>
      </c>
      <c r="AM114" s="15">
        <f t="shared" si="8"/>
        <v>2.771428571</v>
      </c>
      <c r="AN114" s="16" t="s">
        <v>189</v>
      </c>
    </row>
    <row r="115">
      <c r="A115" s="24" t="s">
        <v>190</v>
      </c>
      <c r="B115" s="16" t="s">
        <v>191</v>
      </c>
      <c r="C115" s="6">
        <v>3.0</v>
      </c>
      <c r="D115" s="6">
        <v>2.0</v>
      </c>
      <c r="E115" s="6">
        <v>2.0</v>
      </c>
      <c r="F115" s="6">
        <v>3.0</v>
      </c>
      <c r="G115" s="6">
        <v>2.0</v>
      </c>
      <c r="H115" s="6">
        <v>4.0</v>
      </c>
      <c r="I115" s="6">
        <v>5.0</v>
      </c>
      <c r="J115" s="6">
        <v>2.0</v>
      </c>
      <c r="K115" s="6">
        <v>2.0</v>
      </c>
      <c r="L115" s="6">
        <v>3.0</v>
      </c>
      <c r="M115" s="6">
        <v>1.0</v>
      </c>
      <c r="N115" s="6">
        <v>5.0</v>
      </c>
      <c r="O115" s="6">
        <v>3.0</v>
      </c>
      <c r="P115" s="6">
        <v>1.0</v>
      </c>
      <c r="Q115" s="6">
        <v>1.0</v>
      </c>
      <c r="R115" s="6">
        <v>4.0</v>
      </c>
      <c r="S115" s="6">
        <v>1.0</v>
      </c>
      <c r="T115" s="6">
        <v>2.0</v>
      </c>
      <c r="U115" s="6">
        <v>3.0</v>
      </c>
      <c r="V115" s="6">
        <v>2.0</v>
      </c>
      <c r="W115" s="7"/>
      <c r="X115" s="14">
        <f t="shared" si="1"/>
        <v>2.5</v>
      </c>
      <c r="Y115" s="9"/>
      <c r="Z115" s="14">
        <f t="shared" si="2"/>
        <v>3.2</v>
      </c>
      <c r="AA115" s="9"/>
      <c r="AB115" s="14">
        <f t="shared" si="3"/>
        <v>2</v>
      </c>
      <c r="AC115" s="9"/>
      <c r="AD115" s="14">
        <f t="shared" si="4"/>
        <v>3</v>
      </c>
      <c r="AE115" s="9"/>
      <c r="AF115" s="14">
        <f t="shared" si="5"/>
        <v>2</v>
      </c>
      <c r="AG115" s="9"/>
      <c r="AH115" s="14">
        <f t="shared" si="6"/>
        <v>2</v>
      </c>
      <c r="AI115" s="9"/>
      <c r="AJ115" s="14">
        <f t="shared" si="7"/>
        <v>2.333333333</v>
      </c>
      <c r="AK115" s="9"/>
      <c r="AL115" s="24" t="s">
        <v>190</v>
      </c>
      <c r="AM115" s="15">
        <f t="shared" si="8"/>
        <v>2.433333333</v>
      </c>
      <c r="AN115" s="16" t="s">
        <v>191</v>
      </c>
    </row>
    <row r="116">
      <c r="A116" s="24" t="s">
        <v>192</v>
      </c>
      <c r="B116" s="16" t="s">
        <v>193</v>
      </c>
      <c r="C116" s="6">
        <v>3.0</v>
      </c>
      <c r="D116" s="6">
        <v>3.0</v>
      </c>
      <c r="E116" s="6">
        <v>3.0</v>
      </c>
      <c r="F116" s="6">
        <v>1.0</v>
      </c>
      <c r="G116" s="6">
        <v>2.0</v>
      </c>
      <c r="H116" s="6">
        <v>2.0</v>
      </c>
      <c r="I116" s="6">
        <v>4.0</v>
      </c>
      <c r="J116" s="6">
        <v>4.0</v>
      </c>
      <c r="K116" s="6">
        <v>4.0</v>
      </c>
      <c r="L116" s="6">
        <v>1.0</v>
      </c>
      <c r="M116" s="6">
        <v>2.0</v>
      </c>
      <c r="N116" s="6">
        <v>4.0</v>
      </c>
      <c r="O116" s="6">
        <v>2.0</v>
      </c>
      <c r="P116" s="6">
        <v>2.0</v>
      </c>
      <c r="Q116" s="6">
        <v>4.0</v>
      </c>
      <c r="R116" s="6">
        <v>3.0</v>
      </c>
      <c r="S116" s="6">
        <v>4.0</v>
      </c>
      <c r="T116" s="6">
        <v>2.0</v>
      </c>
      <c r="U116" s="6">
        <v>2.0</v>
      </c>
      <c r="V116" s="6">
        <v>2.0</v>
      </c>
      <c r="W116" s="7"/>
      <c r="X116" s="14">
        <f t="shared" si="1"/>
        <v>3</v>
      </c>
      <c r="Y116" s="9"/>
      <c r="Z116" s="14">
        <f t="shared" si="2"/>
        <v>2.4</v>
      </c>
      <c r="AA116" s="9"/>
      <c r="AB116" s="14">
        <f t="shared" si="3"/>
        <v>4</v>
      </c>
      <c r="AC116" s="9"/>
      <c r="AD116" s="14">
        <f t="shared" si="4"/>
        <v>2.333333333</v>
      </c>
      <c r="AE116" s="9"/>
      <c r="AF116" s="14">
        <f t="shared" si="5"/>
        <v>2</v>
      </c>
      <c r="AG116" s="9"/>
      <c r="AH116" s="14">
        <f t="shared" si="6"/>
        <v>3.666666667</v>
      </c>
      <c r="AI116" s="9"/>
      <c r="AJ116" s="14">
        <f t="shared" si="7"/>
        <v>2</v>
      </c>
      <c r="AK116" s="9"/>
      <c r="AL116" s="24" t="s">
        <v>192</v>
      </c>
      <c r="AM116" s="15">
        <f t="shared" si="8"/>
        <v>2.771428571</v>
      </c>
      <c r="AN116" s="16" t="s">
        <v>193</v>
      </c>
    </row>
    <row r="117">
      <c r="A117" s="24" t="s">
        <v>194</v>
      </c>
      <c r="B117" s="6">
        <v>85.46</v>
      </c>
      <c r="C117" s="6">
        <v>4.0</v>
      </c>
      <c r="D117" s="6">
        <v>2.0</v>
      </c>
      <c r="E117" s="6">
        <v>4.0</v>
      </c>
      <c r="F117" s="6">
        <v>2.0</v>
      </c>
      <c r="G117" s="6">
        <v>4.0</v>
      </c>
      <c r="H117" s="6">
        <v>2.0</v>
      </c>
      <c r="I117" s="6">
        <v>4.0</v>
      </c>
      <c r="J117" s="6">
        <v>3.0</v>
      </c>
      <c r="K117" s="6">
        <v>3.0</v>
      </c>
      <c r="L117" s="6">
        <v>3.0</v>
      </c>
      <c r="M117" s="6">
        <v>3.0</v>
      </c>
      <c r="N117" s="6">
        <v>3.0</v>
      </c>
      <c r="O117" s="6">
        <v>4.0</v>
      </c>
      <c r="P117" s="6">
        <v>3.0</v>
      </c>
      <c r="Q117" s="6">
        <v>3.0</v>
      </c>
      <c r="R117" s="6">
        <v>3.0</v>
      </c>
      <c r="S117" s="6">
        <v>3.0</v>
      </c>
      <c r="T117" s="6">
        <v>3.0</v>
      </c>
      <c r="U117" s="6">
        <v>3.0</v>
      </c>
      <c r="V117" s="6">
        <v>3.0</v>
      </c>
      <c r="W117" s="7"/>
      <c r="X117" s="14">
        <f t="shared" si="1"/>
        <v>3</v>
      </c>
      <c r="Y117" s="9"/>
      <c r="Z117" s="14">
        <f t="shared" si="2"/>
        <v>3.2</v>
      </c>
      <c r="AA117" s="9"/>
      <c r="AB117" s="14">
        <f t="shared" si="3"/>
        <v>3</v>
      </c>
      <c r="AC117" s="9"/>
      <c r="AD117" s="14">
        <f t="shared" si="4"/>
        <v>3</v>
      </c>
      <c r="AE117" s="9"/>
      <c r="AF117" s="14">
        <f t="shared" si="5"/>
        <v>3.5</v>
      </c>
      <c r="AG117" s="9"/>
      <c r="AH117" s="14">
        <f t="shared" si="6"/>
        <v>3</v>
      </c>
      <c r="AI117" s="9"/>
      <c r="AJ117" s="14">
        <f t="shared" si="7"/>
        <v>3</v>
      </c>
      <c r="AK117" s="9"/>
      <c r="AL117" s="24" t="s">
        <v>194</v>
      </c>
      <c r="AM117" s="15">
        <f t="shared" si="8"/>
        <v>3.1</v>
      </c>
      <c r="AN117" s="6">
        <v>85.46</v>
      </c>
    </row>
    <row r="118">
      <c r="A118" s="24" t="s">
        <v>195</v>
      </c>
      <c r="B118" s="6">
        <v>89.04</v>
      </c>
      <c r="C118" s="6">
        <v>4.0</v>
      </c>
      <c r="D118" s="6">
        <v>4.0</v>
      </c>
      <c r="E118" s="6">
        <v>3.0</v>
      </c>
      <c r="F118" s="6">
        <v>5.0</v>
      </c>
      <c r="G118" s="6">
        <v>3.0</v>
      </c>
      <c r="H118" s="6">
        <v>3.0</v>
      </c>
      <c r="I118" s="6">
        <v>4.0</v>
      </c>
      <c r="J118" s="6">
        <v>4.0</v>
      </c>
      <c r="K118" s="6">
        <v>3.0</v>
      </c>
      <c r="L118" s="6">
        <v>5.0</v>
      </c>
      <c r="M118" s="6">
        <v>3.0</v>
      </c>
      <c r="N118" s="6">
        <v>5.0</v>
      </c>
      <c r="O118" s="6">
        <v>4.0</v>
      </c>
      <c r="P118" s="6">
        <v>2.0</v>
      </c>
      <c r="Q118" s="6">
        <v>3.0</v>
      </c>
      <c r="R118" s="6">
        <v>4.0</v>
      </c>
      <c r="S118" s="6">
        <v>5.0</v>
      </c>
      <c r="T118" s="6">
        <v>4.0</v>
      </c>
      <c r="U118" s="6">
        <v>5.0</v>
      </c>
      <c r="V118" s="6">
        <v>3.0</v>
      </c>
      <c r="W118" s="7"/>
      <c r="X118" s="14">
        <f t="shared" si="1"/>
        <v>4</v>
      </c>
      <c r="Y118" s="9"/>
      <c r="Z118" s="14">
        <f t="shared" si="2"/>
        <v>3.6</v>
      </c>
      <c r="AA118" s="9"/>
      <c r="AB118" s="14">
        <f t="shared" si="3"/>
        <v>3.5</v>
      </c>
      <c r="AC118" s="9"/>
      <c r="AD118" s="14">
        <f t="shared" si="4"/>
        <v>4.333333333</v>
      </c>
      <c r="AE118" s="9"/>
      <c r="AF118" s="14">
        <f t="shared" si="5"/>
        <v>3</v>
      </c>
      <c r="AG118" s="9"/>
      <c r="AH118" s="14">
        <f t="shared" si="6"/>
        <v>4</v>
      </c>
      <c r="AI118" s="9"/>
      <c r="AJ118" s="14">
        <f t="shared" si="7"/>
        <v>4</v>
      </c>
      <c r="AK118" s="9"/>
      <c r="AL118" s="24" t="s">
        <v>195</v>
      </c>
      <c r="AM118" s="15">
        <f t="shared" si="8"/>
        <v>3.776190476</v>
      </c>
      <c r="AN118" s="6">
        <v>89.04</v>
      </c>
    </row>
    <row r="119">
      <c r="A119" s="24" t="s">
        <v>196</v>
      </c>
      <c r="B119" s="6">
        <v>91.0</v>
      </c>
      <c r="C119" s="6">
        <v>3.0</v>
      </c>
      <c r="D119" s="6">
        <v>3.0</v>
      </c>
      <c r="E119" s="6">
        <v>2.0</v>
      </c>
      <c r="F119" s="6">
        <v>3.0</v>
      </c>
      <c r="G119" s="6">
        <v>3.0</v>
      </c>
      <c r="H119" s="6">
        <v>3.0</v>
      </c>
      <c r="I119" s="6">
        <v>4.0</v>
      </c>
      <c r="J119" s="6">
        <v>5.0</v>
      </c>
      <c r="K119" s="6">
        <v>4.0</v>
      </c>
      <c r="L119" s="6">
        <v>4.0</v>
      </c>
      <c r="M119" s="6">
        <v>4.0</v>
      </c>
      <c r="N119" s="6">
        <v>3.0</v>
      </c>
      <c r="O119" s="6">
        <v>3.0</v>
      </c>
      <c r="P119" s="6">
        <v>2.0</v>
      </c>
      <c r="Q119" s="6">
        <v>3.0</v>
      </c>
      <c r="R119" s="6">
        <v>3.0</v>
      </c>
      <c r="S119" s="6">
        <v>4.0</v>
      </c>
      <c r="T119" s="6">
        <v>3.0</v>
      </c>
      <c r="U119" s="6">
        <v>3.0</v>
      </c>
      <c r="V119" s="6">
        <v>3.0</v>
      </c>
      <c r="W119" s="7"/>
      <c r="X119" s="14">
        <f t="shared" si="1"/>
        <v>3</v>
      </c>
      <c r="Y119" s="9"/>
      <c r="Z119" s="14">
        <f t="shared" si="2"/>
        <v>3</v>
      </c>
      <c r="AA119" s="9"/>
      <c r="AB119" s="14">
        <f t="shared" si="3"/>
        <v>4.5</v>
      </c>
      <c r="AC119" s="9"/>
      <c r="AD119" s="14">
        <f t="shared" si="4"/>
        <v>3.666666667</v>
      </c>
      <c r="AE119" s="9"/>
      <c r="AF119" s="14">
        <f t="shared" si="5"/>
        <v>2.5</v>
      </c>
      <c r="AG119" s="9"/>
      <c r="AH119" s="14">
        <f t="shared" si="6"/>
        <v>3.333333333</v>
      </c>
      <c r="AI119" s="9"/>
      <c r="AJ119" s="14">
        <f t="shared" si="7"/>
        <v>3</v>
      </c>
      <c r="AK119" s="9"/>
      <c r="AL119" s="24" t="s">
        <v>196</v>
      </c>
      <c r="AM119" s="15">
        <f t="shared" si="8"/>
        <v>3.285714286</v>
      </c>
      <c r="AN119" s="6">
        <v>91.0</v>
      </c>
    </row>
    <row r="120">
      <c r="A120" s="24" t="s">
        <v>197</v>
      </c>
      <c r="B120" s="16" t="s">
        <v>198</v>
      </c>
      <c r="C120" s="6">
        <v>4.0</v>
      </c>
      <c r="D120" s="6">
        <v>4.0</v>
      </c>
      <c r="E120" s="6">
        <v>4.0</v>
      </c>
      <c r="F120" s="6">
        <v>4.0</v>
      </c>
      <c r="G120" s="6">
        <v>3.0</v>
      </c>
      <c r="H120" s="6">
        <v>3.0</v>
      </c>
      <c r="I120" s="6">
        <v>5.0</v>
      </c>
      <c r="J120" s="6">
        <v>3.0</v>
      </c>
      <c r="K120" s="6">
        <v>3.0</v>
      </c>
      <c r="L120" s="6">
        <v>2.0</v>
      </c>
      <c r="M120" s="6">
        <v>4.0</v>
      </c>
      <c r="N120" s="6">
        <v>1.0</v>
      </c>
      <c r="O120" s="6">
        <v>3.0</v>
      </c>
      <c r="P120" s="6">
        <v>2.0</v>
      </c>
      <c r="Q120" s="6">
        <v>4.0</v>
      </c>
      <c r="R120" s="6">
        <v>4.0</v>
      </c>
      <c r="S120" s="6">
        <v>3.0</v>
      </c>
      <c r="T120" s="6">
        <v>2.0</v>
      </c>
      <c r="U120" s="6">
        <v>4.0</v>
      </c>
      <c r="V120" s="6">
        <v>3.0</v>
      </c>
      <c r="W120" s="7"/>
      <c r="X120" s="14">
        <f t="shared" si="1"/>
        <v>4</v>
      </c>
      <c r="Y120" s="9"/>
      <c r="Z120" s="14">
        <f t="shared" si="2"/>
        <v>3.8</v>
      </c>
      <c r="AA120" s="9"/>
      <c r="AB120" s="14">
        <f t="shared" si="3"/>
        <v>3</v>
      </c>
      <c r="AC120" s="9"/>
      <c r="AD120" s="14">
        <f t="shared" si="4"/>
        <v>2.333333333</v>
      </c>
      <c r="AE120" s="9"/>
      <c r="AF120" s="14">
        <f t="shared" si="5"/>
        <v>2.5</v>
      </c>
      <c r="AG120" s="9"/>
      <c r="AH120" s="14">
        <f t="shared" si="6"/>
        <v>3.666666667</v>
      </c>
      <c r="AI120" s="9"/>
      <c r="AJ120" s="14">
        <f t="shared" si="7"/>
        <v>3</v>
      </c>
      <c r="AK120" s="9"/>
      <c r="AL120" s="24" t="s">
        <v>197</v>
      </c>
      <c r="AM120" s="15">
        <f t="shared" si="8"/>
        <v>3.185714286</v>
      </c>
      <c r="AN120" s="16" t="s">
        <v>198</v>
      </c>
    </row>
    <row r="121">
      <c r="A121" s="24" t="s">
        <v>199</v>
      </c>
      <c r="B121" s="6">
        <v>91.07</v>
      </c>
      <c r="C121" s="6">
        <v>4.0</v>
      </c>
      <c r="D121" s="6">
        <v>5.0</v>
      </c>
      <c r="E121" s="6">
        <v>4.0</v>
      </c>
      <c r="F121" s="6">
        <v>4.0</v>
      </c>
      <c r="G121" s="6">
        <v>4.0</v>
      </c>
      <c r="H121" s="6">
        <v>5.0</v>
      </c>
      <c r="I121" s="6">
        <v>5.0</v>
      </c>
      <c r="J121" s="6">
        <v>2.0</v>
      </c>
      <c r="K121" s="6">
        <v>3.0</v>
      </c>
      <c r="L121" s="6">
        <v>5.0</v>
      </c>
      <c r="M121" s="6">
        <v>4.0</v>
      </c>
      <c r="N121" s="6">
        <v>5.0</v>
      </c>
      <c r="O121" s="6">
        <v>4.0</v>
      </c>
      <c r="P121" s="6">
        <v>2.0</v>
      </c>
      <c r="Q121" s="6">
        <v>3.0</v>
      </c>
      <c r="R121" s="6">
        <v>3.0</v>
      </c>
      <c r="S121" s="6">
        <v>4.0</v>
      </c>
      <c r="T121" s="6">
        <v>4.0</v>
      </c>
      <c r="U121" s="6">
        <v>4.0</v>
      </c>
      <c r="V121" s="6">
        <v>4.0</v>
      </c>
      <c r="W121" s="7"/>
      <c r="X121" s="14">
        <f t="shared" si="1"/>
        <v>4.5</v>
      </c>
      <c r="Y121" s="9"/>
      <c r="Z121" s="14">
        <f t="shared" si="2"/>
        <v>4.4</v>
      </c>
      <c r="AA121" s="9"/>
      <c r="AB121" s="14">
        <f t="shared" si="3"/>
        <v>2.5</v>
      </c>
      <c r="AC121" s="9"/>
      <c r="AD121" s="14">
        <f t="shared" si="4"/>
        <v>4.666666667</v>
      </c>
      <c r="AE121" s="9"/>
      <c r="AF121" s="14">
        <f t="shared" si="5"/>
        <v>3</v>
      </c>
      <c r="AG121" s="9"/>
      <c r="AH121" s="14">
        <f t="shared" si="6"/>
        <v>3.333333333</v>
      </c>
      <c r="AI121" s="9"/>
      <c r="AJ121" s="14">
        <f t="shared" si="7"/>
        <v>4</v>
      </c>
      <c r="AK121" s="9"/>
      <c r="AL121" s="24" t="s">
        <v>199</v>
      </c>
      <c r="AM121" s="15">
        <f t="shared" si="8"/>
        <v>3.771428571</v>
      </c>
      <c r="AN121" s="6">
        <v>91.07</v>
      </c>
    </row>
    <row r="122">
      <c r="A122" s="24" t="s">
        <v>200</v>
      </c>
      <c r="B122" s="16" t="s">
        <v>201</v>
      </c>
      <c r="C122" s="6">
        <v>3.0</v>
      </c>
      <c r="D122" s="6">
        <v>4.0</v>
      </c>
      <c r="E122" s="6">
        <v>2.0</v>
      </c>
      <c r="F122" s="6">
        <v>5.0</v>
      </c>
      <c r="G122" s="6">
        <v>2.0</v>
      </c>
      <c r="H122" s="6">
        <v>5.0</v>
      </c>
      <c r="I122" s="6">
        <v>5.0</v>
      </c>
      <c r="J122" s="6">
        <v>3.0</v>
      </c>
      <c r="K122" s="6">
        <v>3.0</v>
      </c>
      <c r="L122" s="6">
        <v>3.0</v>
      </c>
      <c r="M122" s="6">
        <v>4.0</v>
      </c>
      <c r="N122" s="6">
        <v>3.0</v>
      </c>
      <c r="O122" s="6">
        <v>3.0</v>
      </c>
      <c r="P122" s="6">
        <v>2.0</v>
      </c>
      <c r="Q122" s="6">
        <v>2.0</v>
      </c>
      <c r="R122" s="6">
        <v>3.0</v>
      </c>
      <c r="S122" s="6">
        <v>3.0</v>
      </c>
      <c r="T122" s="6">
        <v>2.0</v>
      </c>
      <c r="U122" s="6">
        <v>3.0</v>
      </c>
      <c r="V122" s="6">
        <v>4.0</v>
      </c>
      <c r="W122" s="7"/>
      <c r="X122" s="14">
        <f t="shared" si="1"/>
        <v>3.5</v>
      </c>
      <c r="Y122" s="9"/>
      <c r="Z122" s="14">
        <f t="shared" si="2"/>
        <v>3.8</v>
      </c>
      <c r="AA122" s="9"/>
      <c r="AB122" s="14">
        <f t="shared" si="3"/>
        <v>3</v>
      </c>
      <c r="AC122" s="9"/>
      <c r="AD122" s="14">
        <f t="shared" si="4"/>
        <v>3.333333333</v>
      </c>
      <c r="AE122" s="9"/>
      <c r="AF122" s="14">
        <f t="shared" si="5"/>
        <v>2.5</v>
      </c>
      <c r="AG122" s="9"/>
      <c r="AH122" s="14">
        <f t="shared" si="6"/>
        <v>2.666666667</v>
      </c>
      <c r="AI122" s="9"/>
      <c r="AJ122" s="14">
        <f t="shared" si="7"/>
        <v>3</v>
      </c>
      <c r="AK122" s="9"/>
      <c r="AL122" s="24" t="s">
        <v>200</v>
      </c>
      <c r="AM122" s="15">
        <f t="shared" si="8"/>
        <v>3.114285714</v>
      </c>
      <c r="AN122" s="16" t="s">
        <v>201</v>
      </c>
    </row>
    <row r="123">
      <c r="A123" s="24" t="s">
        <v>202</v>
      </c>
      <c r="B123" s="16" t="s">
        <v>203</v>
      </c>
      <c r="C123" s="6">
        <v>2.0</v>
      </c>
      <c r="D123" s="6">
        <v>2.0</v>
      </c>
      <c r="E123" s="6">
        <v>2.0</v>
      </c>
      <c r="F123" s="6">
        <v>3.0</v>
      </c>
      <c r="G123" s="6">
        <v>1.0</v>
      </c>
      <c r="H123" s="6">
        <v>2.0</v>
      </c>
      <c r="I123" s="6">
        <v>5.0</v>
      </c>
      <c r="J123" s="6">
        <v>1.0</v>
      </c>
      <c r="K123" s="6">
        <v>1.0</v>
      </c>
      <c r="L123" s="6">
        <v>2.0</v>
      </c>
      <c r="M123" s="6">
        <v>5.0</v>
      </c>
      <c r="N123" s="6">
        <v>3.0</v>
      </c>
      <c r="O123" s="6">
        <v>2.0</v>
      </c>
      <c r="P123" s="6">
        <v>1.0</v>
      </c>
      <c r="Q123" s="6">
        <v>2.0</v>
      </c>
      <c r="R123" s="6">
        <v>3.0</v>
      </c>
      <c r="S123" s="6">
        <v>2.0</v>
      </c>
      <c r="T123" s="6">
        <v>3.0</v>
      </c>
      <c r="U123" s="6">
        <v>2.0</v>
      </c>
      <c r="V123" s="6">
        <v>3.0</v>
      </c>
      <c r="W123" s="7"/>
      <c r="X123" s="14">
        <f t="shared" si="1"/>
        <v>2</v>
      </c>
      <c r="Y123" s="9"/>
      <c r="Z123" s="14">
        <f t="shared" si="2"/>
        <v>2.6</v>
      </c>
      <c r="AA123" s="9"/>
      <c r="AB123" s="14">
        <f t="shared" si="3"/>
        <v>1</v>
      </c>
      <c r="AC123" s="9"/>
      <c r="AD123" s="14">
        <f t="shared" si="4"/>
        <v>3.333333333</v>
      </c>
      <c r="AE123" s="9"/>
      <c r="AF123" s="14">
        <f t="shared" si="5"/>
        <v>1.5</v>
      </c>
      <c r="AG123" s="9"/>
      <c r="AH123" s="14">
        <f t="shared" si="6"/>
        <v>2.333333333</v>
      </c>
      <c r="AI123" s="9"/>
      <c r="AJ123" s="14">
        <f t="shared" si="7"/>
        <v>2.666666667</v>
      </c>
      <c r="AK123" s="9"/>
      <c r="AL123" s="24" t="s">
        <v>202</v>
      </c>
      <c r="AM123" s="15">
        <f t="shared" si="8"/>
        <v>2.204761905</v>
      </c>
      <c r="AN123" s="16" t="s">
        <v>203</v>
      </c>
    </row>
    <row r="124">
      <c r="A124" s="24" t="s">
        <v>204</v>
      </c>
      <c r="B124" s="16" t="s">
        <v>205</v>
      </c>
      <c r="C124" s="6">
        <v>3.0</v>
      </c>
      <c r="D124" s="6">
        <v>3.0</v>
      </c>
      <c r="E124" s="6">
        <v>2.0</v>
      </c>
      <c r="F124" s="6">
        <v>3.0</v>
      </c>
      <c r="G124" s="6">
        <v>1.0</v>
      </c>
      <c r="H124" s="6">
        <v>3.0</v>
      </c>
      <c r="I124" s="6">
        <v>4.0</v>
      </c>
      <c r="J124" s="6">
        <v>5.0</v>
      </c>
      <c r="K124" s="6">
        <v>2.0</v>
      </c>
      <c r="L124" s="6">
        <v>3.0</v>
      </c>
      <c r="M124" s="6">
        <v>3.0</v>
      </c>
      <c r="N124" s="6">
        <v>4.0</v>
      </c>
      <c r="O124" s="6">
        <v>3.0</v>
      </c>
      <c r="P124" s="6">
        <v>3.0</v>
      </c>
      <c r="Q124" s="6">
        <v>2.0</v>
      </c>
      <c r="R124" s="6">
        <v>4.0</v>
      </c>
      <c r="S124" s="6">
        <v>2.0</v>
      </c>
      <c r="T124" s="6">
        <v>2.0</v>
      </c>
      <c r="U124" s="6">
        <v>3.0</v>
      </c>
      <c r="V124" s="6">
        <v>3.0</v>
      </c>
      <c r="W124" s="7"/>
      <c r="X124" s="14">
        <f t="shared" si="1"/>
        <v>3</v>
      </c>
      <c r="Y124" s="9"/>
      <c r="Z124" s="14">
        <f t="shared" si="2"/>
        <v>2.6</v>
      </c>
      <c r="AA124" s="9"/>
      <c r="AB124" s="14">
        <f t="shared" si="3"/>
        <v>3.5</v>
      </c>
      <c r="AC124" s="9"/>
      <c r="AD124" s="14">
        <f t="shared" si="4"/>
        <v>3.333333333</v>
      </c>
      <c r="AE124" s="9"/>
      <c r="AF124" s="14">
        <f t="shared" si="5"/>
        <v>3</v>
      </c>
      <c r="AG124" s="9"/>
      <c r="AH124" s="14">
        <f t="shared" si="6"/>
        <v>2.666666667</v>
      </c>
      <c r="AI124" s="9"/>
      <c r="AJ124" s="14">
        <f t="shared" si="7"/>
        <v>2.666666667</v>
      </c>
      <c r="AK124" s="9"/>
      <c r="AL124" s="24" t="s">
        <v>204</v>
      </c>
      <c r="AM124" s="15">
        <f t="shared" si="8"/>
        <v>2.966666667</v>
      </c>
      <c r="AN124" s="16" t="s">
        <v>205</v>
      </c>
    </row>
    <row r="125">
      <c r="A125" s="24" t="s">
        <v>206</v>
      </c>
      <c r="B125" s="6">
        <v>92.0</v>
      </c>
      <c r="C125" s="6">
        <v>5.0</v>
      </c>
      <c r="D125" s="6">
        <v>5.0</v>
      </c>
      <c r="E125" s="6">
        <v>5.0</v>
      </c>
      <c r="F125" s="6">
        <v>1.0</v>
      </c>
      <c r="G125" s="6">
        <v>5.0</v>
      </c>
      <c r="H125" s="6">
        <v>5.0</v>
      </c>
      <c r="I125" s="6">
        <v>5.0</v>
      </c>
      <c r="J125" s="6">
        <v>5.0</v>
      </c>
      <c r="K125" s="6">
        <v>5.0</v>
      </c>
      <c r="L125" s="6">
        <v>5.0</v>
      </c>
      <c r="M125" s="6">
        <v>5.0</v>
      </c>
      <c r="N125" s="6">
        <v>5.0</v>
      </c>
      <c r="O125" s="6">
        <v>5.0</v>
      </c>
      <c r="P125" s="6">
        <v>5.0</v>
      </c>
      <c r="Q125" s="6">
        <v>5.0</v>
      </c>
      <c r="R125" s="6">
        <v>1.0</v>
      </c>
      <c r="S125" s="6">
        <v>5.0</v>
      </c>
      <c r="T125" s="6">
        <v>5.0</v>
      </c>
      <c r="U125" s="6">
        <v>1.0</v>
      </c>
      <c r="V125" s="6">
        <v>5.0</v>
      </c>
      <c r="W125" s="7"/>
      <c r="X125" s="14">
        <f t="shared" si="1"/>
        <v>5</v>
      </c>
      <c r="Y125" s="9"/>
      <c r="Z125" s="14">
        <f t="shared" si="2"/>
        <v>4.2</v>
      </c>
      <c r="AA125" s="9"/>
      <c r="AB125" s="14">
        <f t="shared" si="3"/>
        <v>5</v>
      </c>
      <c r="AC125" s="9"/>
      <c r="AD125" s="14">
        <f t="shared" si="4"/>
        <v>5</v>
      </c>
      <c r="AE125" s="9"/>
      <c r="AF125" s="14">
        <f t="shared" si="5"/>
        <v>5</v>
      </c>
      <c r="AG125" s="9"/>
      <c r="AH125" s="14">
        <f t="shared" si="6"/>
        <v>3.666666667</v>
      </c>
      <c r="AI125" s="9"/>
      <c r="AJ125" s="14">
        <f t="shared" si="7"/>
        <v>3.666666667</v>
      </c>
      <c r="AK125" s="9"/>
      <c r="AL125" s="24" t="s">
        <v>206</v>
      </c>
      <c r="AM125" s="15">
        <f t="shared" si="8"/>
        <v>4.504761905</v>
      </c>
      <c r="AN125" s="6">
        <v>92.0</v>
      </c>
    </row>
    <row r="126">
      <c r="A126" s="24" t="s">
        <v>207</v>
      </c>
      <c r="B126" s="16" t="s">
        <v>208</v>
      </c>
      <c r="C126" s="6">
        <v>5.0</v>
      </c>
      <c r="D126" s="6">
        <v>4.0</v>
      </c>
      <c r="E126" s="6">
        <v>1.0</v>
      </c>
      <c r="F126" s="6">
        <v>4.0</v>
      </c>
      <c r="G126" s="6">
        <v>5.0</v>
      </c>
      <c r="H126" s="6">
        <v>3.0</v>
      </c>
      <c r="I126" s="6">
        <v>5.0</v>
      </c>
      <c r="J126" s="6">
        <v>5.0</v>
      </c>
      <c r="K126" s="6">
        <v>1.0</v>
      </c>
      <c r="L126" s="6">
        <v>5.0</v>
      </c>
      <c r="M126" s="6">
        <v>5.0</v>
      </c>
      <c r="N126" s="6">
        <v>5.0</v>
      </c>
      <c r="O126" s="6">
        <v>5.0</v>
      </c>
      <c r="P126" s="6">
        <v>5.0</v>
      </c>
      <c r="Q126" s="6">
        <v>5.0</v>
      </c>
      <c r="R126" s="6">
        <v>1.0</v>
      </c>
      <c r="S126" s="6">
        <v>3.0</v>
      </c>
      <c r="T126" s="6">
        <v>3.0</v>
      </c>
      <c r="U126" s="6">
        <v>5.0</v>
      </c>
      <c r="V126" s="6">
        <v>3.0</v>
      </c>
      <c r="W126" s="7"/>
      <c r="X126" s="14">
        <f t="shared" si="1"/>
        <v>4.5</v>
      </c>
      <c r="Y126" s="9"/>
      <c r="Z126" s="14">
        <f t="shared" si="2"/>
        <v>3.6</v>
      </c>
      <c r="AA126" s="9"/>
      <c r="AB126" s="14">
        <f t="shared" si="3"/>
        <v>3</v>
      </c>
      <c r="AC126" s="9"/>
      <c r="AD126" s="14">
        <f t="shared" si="4"/>
        <v>5</v>
      </c>
      <c r="AE126" s="9"/>
      <c r="AF126" s="14">
        <f t="shared" si="5"/>
        <v>5</v>
      </c>
      <c r="AG126" s="9"/>
      <c r="AH126" s="14">
        <f t="shared" si="6"/>
        <v>3</v>
      </c>
      <c r="AI126" s="9"/>
      <c r="AJ126" s="14">
        <f t="shared" si="7"/>
        <v>3.666666667</v>
      </c>
      <c r="AK126" s="9"/>
      <c r="AL126" s="24" t="s">
        <v>207</v>
      </c>
      <c r="AM126" s="15">
        <f t="shared" si="8"/>
        <v>3.966666667</v>
      </c>
      <c r="AN126" s="16" t="s">
        <v>208</v>
      </c>
    </row>
    <row r="127">
      <c r="W127" s="7"/>
      <c r="X127" s="25" t="s">
        <v>209</v>
      </c>
    </row>
    <row r="128">
      <c r="B128" s="15">
        <f>AVERAGE(B2:B126)</f>
        <v>87.42821429</v>
      </c>
      <c r="W128" s="7"/>
      <c r="X128" s="14">
        <f>AVERAGE(C128,D126)</f>
        <v>4</v>
      </c>
      <c r="Y128" s="9"/>
      <c r="Z128" s="14">
        <f>AVERAGE(Z2:AA126)</f>
        <v>3.1328</v>
      </c>
      <c r="AA128" s="9"/>
      <c r="AB128" s="14">
        <f>average(AB2:AB126)</f>
        <v>3.076</v>
      </c>
      <c r="AC128" s="9"/>
      <c r="AD128" s="14">
        <f>average(AD2:AD126)</f>
        <v>3.210666667</v>
      </c>
      <c r="AE128" s="9"/>
      <c r="AF128" s="14">
        <f>average(AF2:AF126)</f>
        <v>3</v>
      </c>
      <c r="AG128" s="9"/>
      <c r="AH128" s="14">
        <f>average(AH2:AH126)</f>
        <v>3.090666667</v>
      </c>
      <c r="AI128" s="9"/>
      <c r="AJ128" s="14">
        <f>average(AJ2:AJ126)</f>
        <v>3.234666667</v>
      </c>
      <c r="AK128" s="9"/>
      <c r="AL128" s="6" t="s">
        <v>210</v>
      </c>
      <c r="AM128" s="15">
        <f>average(X128:AL128)</f>
        <v>3.249257143</v>
      </c>
    </row>
    <row r="130">
      <c r="AL130" s="6" t="s">
        <v>211</v>
      </c>
      <c r="AM130" s="15">
        <f>MIN(AM2:AM126)</f>
        <v>2.204761905</v>
      </c>
    </row>
    <row r="132">
      <c r="A132" s="26" t="s">
        <v>212</v>
      </c>
      <c r="B132" s="26"/>
      <c r="AL132" s="6" t="s">
        <v>213</v>
      </c>
      <c r="AM132" s="15">
        <f>MAX(AM2:AM126)</f>
        <v>4.504761905</v>
      </c>
    </row>
    <row r="133">
      <c r="A133" s="27" t="s">
        <v>214</v>
      </c>
      <c r="B133" s="27"/>
    </row>
    <row r="134">
      <c r="A134" s="27" t="s">
        <v>215</v>
      </c>
      <c r="B134" s="28"/>
      <c r="AL134" s="6" t="s">
        <v>216</v>
      </c>
      <c r="AM134" s="15">
        <f>CORREL(AM2:AM126,AN2:AN126)</f>
        <v>0.1182830157</v>
      </c>
    </row>
    <row r="135">
      <c r="A135" s="27" t="s">
        <v>217</v>
      </c>
      <c r="B135" s="28"/>
    </row>
    <row r="136">
      <c r="A136" s="27" t="s">
        <v>218</v>
      </c>
      <c r="B136" s="28"/>
    </row>
    <row r="137">
      <c r="A137" s="26" t="s">
        <v>219</v>
      </c>
      <c r="B137" s="26"/>
    </row>
    <row r="138">
      <c r="A138" s="26" t="s">
        <v>220</v>
      </c>
      <c r="B138" s="26"/>
    </row>
    <row r="139">
      <c r="A139" s="26" t="s">
        <v>221</v>
      </c>
      <c r="B139" s="26"/>
    </row>
    <row r="140">
      <c r="A140" s="26" t="s">
        <v>222</v>
      </c>
      <c r="B140" s="26"/>
    </row>
    <row r="141">
      <c r="A141" s="6" t="s">
        <v>223</v>
      </c>
    </row>
    <row r="142">
      <c r="A142" s="6" t="s">
        <v>224</v>
      </c>
    </row>
    <row r="143">
      <c r="A143" s="6" t="s">
        <v>225</v>
      </c>
    </row>
    <row r="163">
      <c r="AF163" s="29"/>
      <c r="AG163" s="29"/>
      <c r="AH163" s="29"/>
      <c r="AI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</row>
  </sheetData>
  <mergeCells count="893">
    <mergeCell ref="X124:Y124"/>
    <mergeCell ref="Z124:AA124"/>
    <mergeCell ref="AB124:AC124"/>
    <mergeCell ref="AD124:AE124"/>
    <mergeCell ref="AF124:AG124"/>
    <mergeCell ref="AH124:AI124"/>
    <mergeCell ref="AJ124:AK124"/>
    <mergeCell ref="X125:Y125"/>
    <mergeCell ref="Z125:AA125"/>
    <mergeCell ref="AB125:AC125"/>
    <mergeCell ref="AD125:AE125"/>
    <mergeCell ref="AF125:AG125"/>
    <mergeCell ref="AH125:AI125"/>
    <mergeCell ref="AJ125:AK125"/>
    <mergeCell ref="Z126:AA126"/>
    <mergeCell ref="AB126:AC126"/>
    <mergeCell ref="AD126:AE126"/>
    <mergeCell ref="AF126:AG126"/>
    <mergeCell ref="AH126:AI126"/>
    <mergeCell ref="AJ126:AK126"/>
    <mergeCell ref="X127:AK127"/>
    <mergeCell ref="X126:Y126"/>
    <mergeCell ref="Z128:AA128"/>
    <mergeCell ref="AB128:AC128"/>
    <mergeCell ref="AD128:AE128"/>
    <mergeCell ref="AF128:AG128"/>
    <mergeCell ref="AH128:AI128"/>
    <mergeCell ref="AJ128:AK128"/>
    <mergeCell ref="X6:Y6"/>
    <mergeCell ref="Z7:AA7"/>
    <mergeCell ref="AB7:AC7"/>
    <mergeCell ref="AD7:AE7"/>
    <mergeCell ref="AF7:AG7"/>
    <mergeCell ref="AH7:AI7"/>
    <mergeCell ref="AJ7:AK7"/>
    <mergeCell ref="X7:Y7"/>
    <mergeCell ref="Z8:AA8"/>
    <mergeCell ref="AB8:AC8"/>
    <mergeCell ref="AD8:AE8"/>
    <mergeCell ref="AF8:AG8"/>
    <mergeCell ref="AH8:AI8"/>
    <mergeCell ref="AJ8:AK8"/>
    <mergeCell ref="X10:Y10"/>
    <mergeCell ref="Z10:AA10"/>
    <mergeCell ref="AB10:AC10"/>
    <mergeCell ref="AD10:AE10"/>
    <mergeCell ref="AF10:AG10"/>
    <mergeCell ref="AH10:AI10"/>
    <mergeCell ref="AJ10:AK10"/>
    <mergeCell ref="X11:Y11"/>
    <mergeCell ref="Z11:AA11"/>
    <mergeCell ref="AB11:AC11"/>
    <mergeCell ref="AD11:AE11"/>
    <mergeCell ref="AF11:AG11"/>
    <mergeCell ref="AH11:AI11"/>
    <mergeCell ref="AJ11:AK11"/>
    <mergeCell ref="X12:Y12"/>
    <mergeCell ref="Z12:AA12"/>
    <mergeCell ref="AB12:AC12"/>
    <mergeCell ref="AD12:AE12"/>
    <mergeCell ref="AF12:AG12"/>
    <mergeCell ref="AH12:AI12"/>
    <mergeCell ref="AJ12:AK12"/>
    <mergeCell ref="X13:Y13"/>
    <mergeCell ref="Z13:AA13"/>
    <mergeCell ref="AB13:AC13"/>
    <mergeCell ref="AD13:AE13"/>
    <mergeCell ref="AF13:AG13"/>
    <mergeCell ref="AH13:AI13"/>
    <mergeCell ref="AJ13:AK13"/>
    <mergeCell ref="X128:Y128"/>
    <mergeCell ref="X129:Y129"/>
    <mergeCell ref="X130:Y130"/>
    <mergeCell ref="X110:Y110"/>
    <mergeCell ref="Z110:AA110"/>
    <mergeCell ref="AB110:AC110"/>
    <mergeCell ref="AD110:AE110"/>
    <mergeCell ref="AF110:AG110"/>
    <mergeCell ref="AH110:AI110"/>
    <mergeCell ref="AJ110:AK110"/>
    <mergeCell ref="X111:Y111"/>
    <mergeCell ref="Z111:AA111"/>
    <mergeCell ref="AB111:AC111"/>
    <mergeCell ref="AD111:AE111"/>
    <mergeCell ref="AF111:AG111"/>
    <mergeCell ref="AH111:AI111"/>
    <mergeCell ref="AJ111:AK111"/>
    <mergeCell ref="X112:Y112"/>
    <mergeCell ref="Z112:AA112"/>
    <mergeCell ref="AB112:AC112"/>
    <mergeCell ref="AD112:AE112"/>
    <mergeCell ref="AF112:AG112"/>
    <mergeCell ref="AH112:AI112"/>
    <mergeCell ref="AJ112:AK112"/>
    <mergeCell ref="X113:Y113"/>
    <mergeCell ref="Z113:AA113"/>
    <mergeCell ref="AB113:AC113"/>
    <mergeCell ref="AD113:AE113"/>
    <mergeCell ref="AF113:AG113"/>
    <mergeCell ref="AH113:AI113"/>
    <mergeCell ref="AJ113:AK113"/>
    <mergeCell ref="X114:Y114"/>
    <mergeCell ref="Z114:AA114"/>
    <mergeCell ref="AB114:AC114"/>
    <mergeCell ref="AD114:AE114"/>
    <mergeCell ref="AF114:AG114"/>
    <mergeCell ref="AH114:AI114"/>
    <mergeCell ref="AJ114:AK114"/>
    <mergeCell ref="X115:Y115"/>
    <mergeCell ref="Z115:AA115"/>
    <mergeCell ref="AB115:AC115"/>
    <mergeCell ref="AD115:AE115"/>
    <mergeCell ref="AF115:AG115"/>
    <mergeCell ref="AH115:AI115"/>
    <mergeCell ref="AJ115:AK115"/>
    <mergeCell ref="X116:Y116"/>
    <mergeCell ref="Z116:AA116"/>
    <mergeCell ref="AB116:AC116"/>
    <mergeCell ref="AD116:AE116"/>
    <mergeCell ref="AF116:AG116"/>
    <mergeCell ref="AH116:AI116"/>
    <mergeCell ref="AJ116:AK116"/>
    <mergeCell ref="X117:Y117"/>
    <mergeCell ref="Z117:AA117"/>
    <mergeCell ref="AB117:AC117"/>
    <mergeCell ref="AD117:AE117"/>
    <mergeCell ref="AF117:AG117"/>
    <mergeCell ref="AH117:AI117"/>
    <mergeCell ref="AJ117:AK117"/>
    <mergeCell ref="X118:Y118"/>
    <mergeCell ref="Z118:AA118"/>
    <mergeCell ref="AB118:AC118"/>
    <mergeCell ref="AD118:AE118"/>
    <mergeCell ref="AF118:AG118"/>
    <mergeCell ref="AH118:AI118"/>
    <mergeCell ref="AJ118:AK118"/>
    <mergeCell ref="X119:Y119"/>
    <mergeCell ref="Z119:AA119"/>
    <mergeCell ref="AB119:AC119"/>
    <mergeCell ref="AD119:AE119"/>
    <mergeCell ref="AF119:AG119"/>
    <mergeCell ref="AH119:AI119"/>
    <mergeCell ref="AJ119:AK119"/>
    <mergeCell ref="X120:Y120"/>
    <mergeCell ref="Z120:AA120"/>
    <mergeCell ref="AB120:AC120"/>
    <mergeCell ref="AD120:AE120"/>
    <mergeCell ref="AF120:AG120"/>
    <mergeCell ref="AH120:AI120"/>
    <mergeCell ref="AJ120:AK120"/>
    <mergeCell ref="X121:Y121"/>
    <mergeCell ref="Z121:AA121"/>
    <mergeCell ref="AB121:AC121"/>
    <mergeCell ref="AD121:AE121"/>
    <mergeCell ref="AF121:AG121"/>
    <mergeCell ref="AH121:AI121"/>
    <mergeCell ref="AJ121:AK121"/>
    <mergeCell ref="X122:Y122"/>
    <mergeCell ref="Z122:AA122"/>
    <mergeCell ref="AB122:AC122"/>
    <mergeCell ref="AD122:AE122"/>
    <mergeCell ref="AF122:AG122"/>
    <mergeCell ref="AH122:AI122"/>
    <mergeCell ref="AJ122:AK122"/>
    <mergeCell ref="X123:Y123"/>
    <mergeCell ref="Z123:AA123"/>
    <mergeCell ref="AB123:AC123"/>
    <mergeCell ref="AD123:AE123"/>
    <mergeCell ref="AF123:AG123"/>
    <mergeCell ref="AH123:AI123"/>
    <mergeCell ref="AJ123:AK123"/>
    <mergeCell ref="E1:I1"/>
    <mergeCell ref="J1:K1"/>
    <mergeCell ref="L1:N1"/>
    <mergeCell ref="O1:P1"/>
    <mergeCell ref="Q1:S1"/>
    <mergeCell ref="T1:V1"/>
    <mergeCell ref="Z1:AA1"/>
    <mergeCell ref="X1:Y1"/>
    <mergeCell ref="Z2:AA2"/>
    <mergeCell ref="AB2:AC2"/>
    <mergeCell ref="AD2:AE2"/>
    <mergeCell ref="AF2:AG2"/>
    <mergeCell ref="AH2:AI2"/>
    <mergeCell ref="AJ2:AK2"/>
    <mergeCell ref="X2:Y2"/>
    <mergeCell ref="Z3:AA3"/>
    <mergeCell ref="AB3:AC3"/>
    <mergeCell ref="AD3:AE3"/>
    <mergeCell ref="AF3:AG3"/>
    <mergeCell ref="AH3:AI3"/>
    <mergeCell ref="AJ3:AK3"/>
    <mergeCell ref="X3:Y3"/>
    <mergeCell ref="Z4:AA4"/>
    <mergeCell ref="AB4:AC4"/>
    <mergeCell ref="AD4:AE4"/>
    <mergeCell ref="AF4:AG4"/>
    <mergeCell ref="AH4:AI4"/>
    <mergeCell ref="AJ4:AK4"/>
    <mergeCell ref="X4:Y4"/>
    <mergeCell ref="Z5:AA5"/>
    <mergeCell ref="AB5:AC5"/>
    <mergeCell ref="AD5:AE5"/>
    <mergeCell ref="AF5:AG5"/>
    <mergeCell ref="AH5:AI5"/>
    <mergeCell ref="AJ5:AK5"/>
    <mergeCell ref="X5:Y5"/>
    <mergeCell ref="Z6:AA6"/>
    <mergeCell ref="AB6:AC6"/>
    <mergeCell ref="AD6:AE6"/>
    <mergeCell ref="AF6:AG6"/>
    <mergeCell ref="AH6:AI6"/>
    <mergeCell ref="AJ6:AK6"/>
    <mergeCell ref="X8:Y8"/>
    <mergeCell ref="X9:Y9"/>
    <mergeCell ref="Z9:AA9"/>
    <mergeCell ref="AB9:AC9"/>
    <mergeCell ref="AD9:AE9"/>
    <mergeCell ref="AF9:AG9"/>
    <mergeCell ref="AH9:AI9"/>
    <mergeCell ref="AJ9:AK9"/>
    <mergeCell ref="X14:Y14"/>
    <mergeCell ref="Z14:AA14"/>
    <mergeCell ref="AB14:AC14"/>
    <mergeCell ref="AD14:AE14"/>
    <mergeCell ref="AF14:AG14"/>
    <mergeCell ref="AH14:AI14"/>
    <mergeCell ref="AJ14:AK14"/>
    <mergeCell ref="X15:Y15"/>
    <mergeCell ref="Z15:AA15"/>
    <mergeCell ref="AB15:AC15"/>
    <mergeCell ref="AD15:AE15"/>
    <mergeCell ref="AF15:AG15"/>
    <mergeCell ref="AH15:AI15"/>
    <mergeCell ref="AJ15:AK15"/>
    <mergeCell ref="X16:Y16"/>
    <mergeCell ref="Z16:AA16"/>
    <mergeCell ref="AB16:AC16"/>
    <mergeCell ref="AD16:AE16"/>
    <mergeCell ref="AF16:AG16"/>
    <mergeCell ref="AH16:AI16"/>
    <mergeCell ref="AJ16:AK16"/>
    <mergeCell ref="X17:Y17"/>
    <mergeCell ref="Z17:AA17"/>
    <mergeCell ref="AB17:AC17"/>
    <mergeCell ref="AD17:AE17"/>
    <mergeCell ref="AF17:AG17"/>
    <mergeCell ref="AH17:AI17"/>
    <mergeCell ref="AJ17:AK17"/>
    <mergeCell ref="X18:Y18"/>
    <mergeCell ref="Z18:AA18"/>
    <mergeCell ref="AB18:AC18"/>
    <mergeCell ref="AD18:AE18"/>
    <mergeCell ref="AF18:AG18"/>
    <mergeCell ref="AH18:AI18"/>
    <mergeCell ref="AJ18:AK18"/>
    <mergeCell ref="X19:Y19"/>
    <mergeCell ref="Z19:AA19"/>
    <mergeCell ref="AB19:AC19"/>
    <mergeCell ref="AD19:AE19"/>
    <mergeCell ref="AF19:AG19"/>
    <mergeCell ref="AH19:AI19"/>
    <mergeCell ref="AJ19:AK19"/>
    <mergeCell ref="X20:Y20"/>
    <mergeCell ref="Z20:AA20"/>
    <mergeCell ref="AB20:AC20"/>
    <mergeCell ref="AD20:AE20"/>
    <mergeCell ref="AF20:AG20"/>
    <mergeCell ref="AH20:AI20"/>
    <mergeCell ref="AJ20:AK20"/>
    <mergeCell ref="X21:Y21"/>
    <mergeCell ref="Z21:AA21"/>
    <mergeCell ref="AB21:AC21"/>
    <mergeCell ref="AD21:AE21"/>
    <mergeCell ref="AF21:AG21"/>
    <mergeCell ref="AH21:AI21"/>
    <mergeCell ref="AJ21:AK21"/>
    <mergeCell ref="X22:Y22"/>
    <mergeCell ref="Z22:AA22"/>
    <mergeCell ref="AB22:AC22"/>
    <mergeCell ref="AD22:AE22"/>
    <mergeCell ref="AF22:AG22"/>
    <mergeCell ref="AH22:AI22"/>
    <mergeCell ref="AJ22:AK22"/>
    <mergeCell ref="X23:Y23"/>
    <mergeCell ref="Z23:AA23"/>
    <mergeCell ref="AB23:AC23"/>
    <mergeCell ref="AD23:AE23"/>
    <mergeCell ref="AF23:AG23"/>
    <mergeCell ref="AH23:AI23"/>
    <mergeCell ref="AJ23:AK23"/>
    <mergeCell ref="X24:Y24"/>
    <mergeCell ref="Z24:AA24"/>
    <mergeCell ref="AB24:AC24"/>
    <mergeCell ref="AD24:AE24"/>
    <mergeCell ref="AF24:AG24"/>
    <mergeCell ref="AH24:AI24"/>
    <mergeCell ref="AJ24:AK24"/>
    <mergeCell ref="X25:Y25"/>
    <mergeCell ref="Z25:AA25"/>
    <mergeCell ref="AB25:AC25"/>
    <mergeCell ref="AD25:AE25"/>
    <mergeCell ref="AF25:AG25"/>
    <mergeCell ref="AH25:AI25"/>
    <mergeCell ref="AJ25:AK25"/>
    <mergeCell ref="X26:Y26"/>
    <mergeCell ref="Z26:AA26"/>
    <mergeCell ref="AB26:AC26"/>
    <mergeCell ref="AD26:AE26"/>
    <mergeCell ref="AF26:AG26"/>
    <mergeCell ref="AH26:AI26"/>
    <mergeCell ref="AJ26:AK26"/>
    <mergeCell ref="X27:Y27"/>
    <mergeCell ref="Z27:AA27"/>
    <mergeCell ref="AB27:AC27"/>
    <mergeCell ref="AD27:AE27"/>
    <mergeCell ref="AF27:AG27"/>
    <mergeCell ref="AH27:AI27"/>
    <mergeCell ref="AJ27:AK27"/>
    <mergeCell ref="X28:Y28"/>
    <mergeCell ref="Z28:AA28"/>
    <mergeCell ref="AB28:AC28"/>
    <mergeCell ref="AD28:AE28"/>
    <mergeCell ref="AF28:AG28"/>
    <mergeCell ref="AH28:AI28"/>
    <mergeCell ref="AJ28:AK28"/>
    <mergeCell ref="X29:Y29"/>
    <mergeCell ref="Z29:AA29"/>
    <mergeCell ref="AB29:AC29"/>
    <mergeCell ref="AD29:AE29"/>
    <mergeCell ref="AF29:AG29"/>
    <mergeCell ref="AH29:AI29"/>
    <mergeCell ref="AJ29:AK29"/>
    <mergeCell ref="X30:Y30"/>
    <mergeCell ref="Z30:AA30"/>
    <mergeCell ref="AB30:AC30"/>
    <mergeCell ref="AD30:AE30"/>
    <mergeCell ref="AF30:AG30"/>
    <mergeCell ref="AH30:AI30"/>
    <mergeCell ref="AJ30:AK30"/>
    <mergeCell ref="X31:Y31"/>
    <mergeCell ref="Z31:AA31"/>
    <mergeCell ref="AB31:AC31"/>
    <mergeCell ref="AD31:AE31"/>
    <mergeCell ref="AF31:AG31"/>
    <mergeCell ref="AH31:AI31"/>
    <mergeCell ref="AJ31:AK31"/>
    <mergeCell ref="X32:Y32"/>
    <mergeCell ref="Z32:AA32"/>
    <mergeCell ref="AB32:AC32"/>
    <mergeCell ref="AD32:AE32"/>
    <mergeCell ref="AF32:AG32"/>
    <mergeCell ref="AH32:AI32"/>
    <mergeCell ref="AJ32:AK32"/>
    <mergeCell ref="X33:Y33"/>
    <mergeCell ref="Z33:AA33"/>
    <mergeCell ref="AB33:AC33"/>
    <mergeCell ref="AD33:AE33"/>
    <mergeCell ref="AF33:AG33"/>
    <mergeCell ref="AH33:AI33"/>
    <mergeCell ref="AJ33:AK33"/>
    <mergeCell ref="X34:Y34"/>
    <mergeCell ref="Z34:AA34"/>
    <mergeCell ref="AB34:AC34"/>
    <mergeCell ref="AD34:AE34"/>
    <mergeCell ref="AF34:AG34"/>
    <mergeCell ref="AH34:AI34"/>
    <mergeCell ref="AJ34:AK34"/>
    <mergeCell ref="X35:Y35"/>
    <mergeCell ref="Z35:AA35"/>
    <mergeCell ref="AB35:AC35"/>
    <mergeCell ref="AD35:AE35"/>
    <mergeCell ref="AF35:AG35"/>
    <mergeCell ref="AH35:AI35"/>
    <mergeCell ref="AJ35:AK35"/>
    <mergeCell ref="X36:Y36"/>
    <mergeCell ref="Z36:AA36"/>
    <mergeCell ref="AB36:AC36"/>
    <mergeCell ref="AD36:AE36"/>
    <mergeCell ref="AF36:AG36"/>
    <mergeCell ref="AH36:AI36"/>
    <mergeCell ref="AJ36:AK36"/>
    <mergeCell ref="X37:Y37"/>
    <mergeCell ref="Z37:AA37"/>
    <mergeCell ref="AB37:AC37"/>
    <mergeCell ref="AD37:AE37"/>
    <mergeCell ref="AF37:AG37"/>
    <mergeCell ref="AH37:AI37"/>
    <mergeCell ref="AJ37:AK37"/>
    <mergeCell ref="X38:Y38"/>
    <mergeCell ref="Z38:AA38"/>
    <mergeCell ref="AB38:AC38"/>
    <mergeCell ref="AD38:AE38"/>
    <mergeCell ref="AF38:AG38"/>
    <mergeCell ref="AH38:AI38"/>
    <mergeCell ref="AJ38:AK38"/>
    <mergeCell ref="X39:Y39"/>
    <mergeCell ref="Z39:AA39"/>
    <mergeCell ref="AB39:AC39"/>
    <mergeCell ref="AD39:AE39"/>
    <mergeCell ref="AF39:AG39"/>
    <mergeCell ref="AH39:AI39"/>
    <mergeCell ref="AJ39:AK39"/>
    <mergeCell ref="X40:Y40"/>
    <mergeCell ref="Z40:AA40"/>
    <mergeCell ref="AB40:AC40"/>
    <mergeCell ref="AD40:AE40"/>
    <mergeCell ref="AF40:AG40"/>
    <mergeCell ref="AH40:AI40"/>
    <mergeCell ref="AJ40:AK40"/>
    <mergeCell ref="X41:Y41"/>
    <mergeCell ref="Z41:AA41"/>
    <mergeCell ref="AB41:AC41"/>
    <mergeCell ref="AD41:AE41"/>
    <mergeCell ref="AF41:AG41"/>
    <mergeCell ref="AH41:AI41"/>
    <mergeCell ref="AJ41:AK41"/>
    <mergeCell ref="X42:Y42"/>
    <mergeCell ref="Z42:AA42"/>
    <mergeCell ref="AB42:AC42"/>
    <mergeCell ref="AD42:AE42"/>
    <mergeCell ref="AF42:AG42"/>
    <mergeCell ref="AH42:AI42"/>
    <mergeCell ref="AJ42:AK42"/>
    <mergeCell ref="X43:Y43"/>
    <mergeCell ref="Z43:AA43"/>
    <mergeCell ref="AB43:AC43"/>
    <mergeCell ref="AD43:AE43"/>
    <mergeCell ref="AF43:AG43"/>
    <mergeCell ref="AH43:AI43"/>
    <mergeCell ref="AJ43:AK43"/>
    <mergeCell ref="X44:Y44"/>
    <mergeCell ref="Z44:AA44"/>
    <mergeCell ref="AB44:AC44"/>
    <mergeCell ref="AD44:AE44"/>
    <mergeCell ref="AF44:AG44"/>
    <mergeCell ref="AH44:AI44"/>
    <mergeCell ref="AJ44:AK44"/>
    <mergeCell ref="X45:Y45"/>
    <mergeCell ref="Z45:AA45"/>
    <mergeCell ref="AB45:AC45"/>
    <mergeCell ref="AD45:AE45"/>
    <mergeCell ref="AF45:AG45"/>
    <mergeCell ref="AH45:AI45"/>
    <mergeCell ref="AJ45:AK45"/>
    <mergeCell ref="X46:Y46"/>
    <mergeCell ref="Z46:AA46"/>
    <mergeCell ref="AB46:AC46"/>
    <mergeCell ref="AD46:AE46"/>
    <mergeCell ref="AF46:AG46"/>
    <mergeCell ref="AH46:AI46"/>
    <mergeCell ref="AJ46:AK46"/>
    <mergeCell ref="X47:Y47"/>
    <mergeCell ref="Z47:AA47"/>
    <mergeCell ref="AB47:AC47"/>
    <mergeCell ref="AD47:AE47"/>
    <mergeCell ref="AF47:AG47"/>
    <mergeCell ref="AH47:AI47"/>
    <mergeCell ref="AJ47:AK47"/>
    <mergeCell ref="X48:Y48"/>
    <mergeCell ref="Z48:AA48"/>
    <mergeCell ref="AB48:AC48"/>
    <mergeCell ref="AD48:AE48"/>
    <mergeCell ref="AF48:AG48"/>
    <mergeCell ref="AH48:AI48"/>
    <mergeCell ref="AJ48:AK48"/>
    <mergeCell ref="X49:Y49"/>
    <mergeCell ref="Z49:AA49"/>
    <mergeCell ref="AB49:AC49"/>
    <mergeCell ref="AD49:AE49"/>
    <mergeCell ref="AF49:AG49"/>
    <mergeCell ref="AH49:AI49"/>
    <mergeCell ref="AJ49:AK49"/>
    <mergeCell ref="X50:Y50"/>
    <mergeCell ref="Z50:AA50"/>
    <mergeCell ref="AB50:AC50"/>
    <mergeCell ref="AD50:AE50"/>
    <mergeCell ref="AF50:AG50"/>
    <mergeCell ref="AH50:AI50"/>
    <mergeCell ref="AJ50:AK50"/>
    <mergeCell ref="X51:Y51"/>
    <mergeCell ref="Z51:AA51"/>
    <mergeCell ref="AB51:AC51"/>
    <mergeCell ref="AD51:AE51"/>
    <mergeCell ref="AF51:AG51"/>
    <mergeCell ref="AH51:AI51"/>
    <mergeCell ref="AJ51:AK51"/>
    <mergeCell ref="X52:Y52"/>
    <mergeCell ref="Z52:AA52"/>
    <mergeCell ref="AB52:AC52"/>
    <mergeCell ref="AD52:AE52"/>
    <mergeCell ref="AF52:AG52"/>
    <mergeCell ref="AH52:AI52"/>
    <mergeCell ref="AJ52:AK52"/>
    <mergeCell ref="X53:Y53"/>
    <mergeCell ref="Z53:AA53"/>
    <mergeCell ref="AB53:AC53"/>
    <mergeCell ref="AD53:AE53"/>
    <mergeCell ref="AF53:AG53"/>
    <mergeCell ref="AH53:AI53"/>
    <mergeCell ref="AJ53:AK53"/>
    <mergeCell ref="X54:Y54"/>
    <mergeCell ref="Z54:AA54"/>
    <mergeCell ref="AB54:AC54"/>
    <mergeCell ref="AD54:AE54"/>
    <mergeCell ref="AF54:AG54"/>
    <mergeCell ref="AH54:AI54"/>
    <mergeCell ref="AJ54:AK54"/>
    <mergeCell ref="X55:Y55"/>
    <mergeCell ref="Z55:AA55"/>
    <mergeCell ref="AB55:AC55"/>
    <mergeCell ref="AD55:AE55"/>
    <mergeCell ref="AF55:AG55"/>
    <mergeCell ref="AH55:AI55"/>
    <mergeCell ref="AJ55:AK55"/>
    <mergeCell ref="X56:Y56"/>
    <mergeCell ref="Z56:AA56"/>
    <mergeCell ref="AB56:AC56"/>
    <mergeCell ref="AD56:AE56"/>
    <mergeCell ref="AF56:AG56"/>
    <mergeCell ref="AH56:AI56"/>
    <mergeCell ref="AJ56:AK56"/>
    <mergeCell ref="X57:Y57"/>
    <mergeCell ref="Z57:AA57"/>
    <mergeCell ref="AB57:AC57"/>
    <mergeCell ref="AD57:AE57"/>
    <mergeCell ref="AF57:AG57"/>
    <mergeCell ref="AH57:AI57"/>
    <mergeCell ref="AJ57:AK57"/>
    <mergeCell ref="X58:Y58"/>
    <mergeCell ref="Z58:AA58"/>
    <mergeCell ref="AB58:AC58"/>
    <mergeCell ref="AD58:AE58"/>
    <mergeCell ref="AF58:AG58"/>
    <mergeCell ref="AH58:AI58"/>
    <mergeCell ref="AJ58:AK58"/>
    <mergeCell ref="X59:Y59"/>
    <mergeCell ref="Z59:AA59"/>
    <mergeCell ref="AB59:AC59"/>
    <mergeCell ref="AD59:AE59"/>
    <mergeCell ref="AF59:AG59"/>
    <mergeCell ref="AH59:AI59"/>
    <mergeCell ref="AJ59:AK59"/>
    <mergeCell ref="X60:Y60"/>
    <mergeCell ref="Z60:AA60"/>
    <mergeCell ref="AB60:AC60"/>
    <mergeCell ref="AD60:AE60"/>
    <mergeCell ref="AF60:AG60"/>
    <mergeCell ref="AH60:AI60"/>
    <mergeCell ref="AJ60:AK60"/>
    <mergeCell ref="X61:Y61"/>
    <mergeCell ref="Z61:AA61"/>
    <mergeCell ref="AB61:AC61"/>
    <mergeCell ref="AD61:AE61"/>
    <mergeCell ref="AF61:AG61"/>
    <mergeCell ref="AH61:AI61"/>
    <mergeCell ref="AJ61:AK61"/>
    <mergeCell ref="X62:Y62"/>
    <mergeCell ref="Z62:AA62"/>
    <mergeCell ref="AB62:AC62"/>
    <mergeCell ref="AD62:AE62"/>
    <mergeCell ref="AF62:AG62"/>
    <mergeCell ref="AH62:AI62"/>
    <mergeCell ref="AJ62:AK62"/>
    <mergeCell ref="X63:Y63"/>
    <mergeCell ref="Z63:AA63"/>
    <mergeCell ref="AB63:AC63"/>
    <mergeCell ref="AD63:AE63"/>
    <mergeCell ref="AF63:AG63"/>
    <mergeCell ref="AH63:AI63"/>
    <mergeCell ref="AJ63:AK63"/>
    <mergeCell ref="X64:Y64"/>
    <mergeCell ref="Z64:AA64"/>
    <mergeCell ref="AB64:AC64"/>
    <mergeCell ref="AD64:AE64"/>
    <mergeCell ref="AF64:AG64"/>
    <mergeCell ref="AH64:AI64"/>
    <mergeCell ref="AJ64:AK64"/>
    <mergeCell ref="X65:Y65"/>
    <mergeCell ref="Z65:AA65"/>
    <mergeCell ref="AB65:AC65"/>
    <mergeCell ref="AD65:AE65"/>
    <mergeCell ref="AF65:AG65"/>
    <mergeCell ref="AH65:AI65"/>
    <mergeCell ref="AJ65:AK65"/>
    <mergeCell ref="X66:Y66"/>
    <mergeCell ref="Z66:AA66"/>
    <mergeCell ref="AB66:AC66"/>
    <mergeCell ref="AD66:AE66"/>
    <mergeCell ref="AF66:AG66"/>
    <mergeCell ref="AH66:AI66"/>
    <mergeCell ref="AJ66:AK66"/>
    <mergeCell ref="X67:Y67"/>
    <mergeCell ref="Z67:AA67"/>
    <mergeCell ref="AB67:AC67"/>
    <mergeCell ref="AD67:AE67"/>
    <mergeCell ref="AF67:AG67"/>
    <mergeCell ref="AH67:AI67"/>
    <mergeCell ref="AJ67:AK67"/>
    <mergeCell ref="X68:Y68"/>
    <mergeCell ref="Z68:AA68"/>
    <mergeCell ref="AB68:AC68"/>
    <mergeCell ref="AD68:AE68"/>
    <mergeCell ref="AF68:AG68"/>
    <mergeCell ref="AH68:AI68"/>
    <mergeCell ref="AJ68:AK68"/>
    <mergeCell ref="X69:Y69"/>
    <mergeCell ref="Z69:AA69"/>
    <mergeCell ref="AB69:AC69"/>
    <mergeCell ref="AD69:AE69"/>
    <mergeCell ref="AF69:AG69"/>
    <mergeCell ref="AH69:AI69"/>
    <mergeCell ref="AJ69:AK69"/>
    <mergeCell ref="X70:Y70"/>
    <mergeCell ref="Z70:AA70"/>
    <mergeCell ref="AB70:AC70"/>
    <mergeCell ref="AD70:AE70"/>
    <mergeCell ref="AF70:AG70"/>
    <mergeCell ref="AH70:AI70"/>
    <mergeCell ref="AJ70:AK70"/>
    <mergeCell ref="X71:Y71"/>
    <mergeCell ref="Z71:AA71"/>
    <mergeCell ref="AB71:AC71"/>
    <mergeCell ref="AD71:AE71"/>
    <mergeCell ref="AF71:AG71"/>
    <mergeCell ref="AH71:AI71"/>
    <mergeCell ref="AJ71:AK71"/>
    <mergeCell ref="X72:Y72"/>
    <mergeCell ref="Z72:AA72"/>
    <mergeCell ref="AB72:AC72"/>
    <mergeCell ref="AD72:AE72"/>
    <mergeCell ref="AF72:AG72"/>
    <mergeCell ref="AH72:AI72"/>
    <mergeCell ref="AJ72:AK72"/>
    <mergeCell ref="X73:Y73"/>
    <mergeCell ref="Z73:AA73"/>
    <mergeCell ref="AB73:AC73"/>
    <mergeCell ref="AD73:AE73"/>
    <mergeCell ref="AF73:AG73"/>
    <mergeCell ref="AH73:AI73"/>
    <mergeCell ref="AJ73:AK73"/>
    <mergeCell ref="X74:Y74"/>
    <mergeCell ref="Z74:AA74"/>
    <mergeCell ref="AB74:AC74"/>
    <mergeCell ref="AD74:AE74"/>
    <mergeCell ref="AF74:AG74"/>
    <mergeCell ref="AH74:AI74"/>
    <mergeCell ref="AJ74:AK74"/>
    <mergeCell ref="X75:Y75"/>
    <mergeCell ref="Z75:AA75"/>
    <mergeCell ref="AB75:AC75"/>
    <mergeCell ref="AD75:AE75"/>
    <mergeCell ref="AF75:AG75"/>
    <mergeCell ref="AH75:AI75"/>
    <mergeCell ref="AJ75:AK75"/>
    <mergeCell ref="X76:Y76"/>
    <mergeCell ref="Z76:AA76"/>
    <mergeCell ref="AB76:AC76"/>
    <mergeCell ref="AD76:AE76"/>
    <mergeCell ref="AF76:AG76"/>
    <mergeCell ref="AH76:AI76"/>
    <mergeCell ref="AJ76:AK76"/>
    <mergeCell ref="X77:Y77"/>
    <mergeCell ref="Z77:AA77"/>
    <mergeCell ref="AB77:AC77"/>
    <mergeCell ref="AD77:AE77"/>
    <mergeCell ref="AF77:AG77"/>
    <mergeCell ref="AH77:AI77"/>
    <mergeCell ref="AJ77:AK77"/>
    <mergeCell ref="X78:Y78"/>
    <mergeCell ref="Z78:AA78"/>
    <mergeCell ref="AB78:AC78"/>
    <mergeCell ref="AD78:AE78"/>
    <mergeCell ref="AF78:AG78"/>
    <mergeCell ref="AH78:AI78"/>
    <mergeCell ref="AJ78:AK78"/>
    <mergeCell ref="X79:Y79"/>
    <mergeCell ref="Z79:AA79"/>
    <mergeCell ref="AB79:AC79"/>
    <mergeCell ref="AD79:AE79"/>
    <mergeCell ref="AF79:AG79"/>
    <mergeCell ref="AH79:AI79"/>
    <mergeCell ref="AJ79:AK79"/>
    <mergeCell ref="X80:Y80"/>
    <mergeCell ref="Z80:AA80"/>
    <mergeCell ref="AB80:AC80"/>
    <mergeCell ref="AD80:AE80"/>
    <mergeCell ref="AF80:AG80"/>
    <mergeCell ref="AH80:AI80"/>
    <mergeCell ref="AJ80:AK80"/>
    <mergeCell ref="X81:Y81"/>
    <mergeCell ref="Z81:AA81"/>
    <mergeCell ref="AB81:AC81"/>
    <mergeCell ref="AD81:AE81"/>
    <mergeCell ref="AF81:AG81"/>
    <mergeCell ref="AH81:AI81"/>
    <mergeCell ref="AJ81:AK81"/>
    <mergeCell ref="X82:Y82"/>
    <mergeCell ref="Z82:AA82"/>
    <mergeCell ref="AB82:AC82"/>
    <mergeCell ref="AD82:AE82"/>
    <mergeCell ref="AF82:AG82"/>
    <mergeCell ref="AH82:AI82"/>
    <mergeCell ref="AJ82:AK82"/>
    <mergeCell ref="X83:Y83"/>
    <mergeCell ref="Z83:AA83"/>
    <mergeCell ref="AB83:AC83"/>
    <mergeCell ref="AD83:AE83"/>
    <mergeCell ref="AF83:AG83"/>
    <mergeCell ref="AH83:AI83"/>
    <mergeCell ref="AJ83:AK83"/>
    <mergeCell ref="X84:Y84"/>
    <mergeCell ref="Z84:AA84"/>
    <mergeCell ref="AB84:AC84"/>
    <mergeCell ref="AD84:AE84"/>
    <mergeCell ref="AF84:AG84"/>
    <mergeCell ref="AH84:AI84"/>
    <mergeCell ref="AJ84:AK84"/>
    <mergeCell ref="X85:Y85"/>
    <mergeCell ref="Z85:AA85"/>
    <mergeCell ref="AB85:AC85"/>
    <mergeCell ref="AD85:AE85"/>
    <mergeCell ref="AF85:AG85"/>
    <mergeCell ref="AH85:AI85"/>
    <mergeCell ref="AJ85:AK85"/>
    <mergeCell ref="X86:Y86"/>
    <mergeCell ref="Z86:AA86"/>
    <mergeCell ref="AB86:AC86"/>
    <mergeCell ref="AD86:AE86"/>
    <mergeCell ref="AF86:AG86"/>
    <mergeCell ref="AH86:AI86"/>
    <mergeCell ref="AJ86:AK86"/>
    <mergeCell ref="X87:Y87"/>
    <mergeCell ref="Z87:AA87"/>
    <mergeCell ref="AB87:AC87"/>
    <mergeCell ref="AD87:AE87"/>
    <mergeCell ref="AF87:AG87"/>
    <mergeCell ref="AH87:AI87"/>
    <mergeCell ref="AJ87:AK87"/>
    <mergeCell ref="X88:Y88"/>
    <mergeCell ref="Z88:AA88"/>
    <mergeCell ref="AB88:AC88"/>
    <mergeCell ref="AD88:AE88"/>
    <mergeCell ref="AF88:AG88"/>
    <mergeCell ref="AH88:AI88"/>
    <mergeCell ref="AJ88:AK88"/>
    <mergeCell ref="X89:Y89"/>
    <mergeCell ref="Z89:AA89"/>
    <mergeCell ref="AB89:AC89"/>
    <mergeCell ref="AD89:AE89"/>
    <mergeCell ref="AF89:AG89"/>
    <mergeCell ref="AH89:AI89"/>
    <mergeCell ref="AJ89:AK89"/>
    <mergeCell ref="X90:Y90"/>
    <mergeCell ref="Z90:AA90"/>
    <mergeCell ref="AB90:AC90"/>
    <mergeCell ref="AD90:AE90"/>
    <mergeCell ref="AF90:AG90"/>
    <mergeCell ref="AH90:AI90"/>
    <mergeCell ref="AJ90:AK90"/>
    <mergeCell ref="X91:Y91"/>
    <mergeCell ref="Z91:AA91"/>
    <mergeCell ref="AB91:AC91"/>
    <mergeCell ref="AD91:AE91"/>
    <mergeCell ref="AF91:AG91"/>
    <mergeCell ref="AH91:AI91"/>
    <mergeCell ref="AJ91:AK91"/>
    <mergeCell ref="X92:Y92"/>
    <mergeCell ref="Z92:AA92"/>
    <mergeCell ref="AB92:AC92"/>
    <mergeCell ref="AD92:AE92"/>
    <mergeCell ref="AF92:AG92"/>
    <mergeCell ref="AH92:AI92"/>
    <mergeCell ref="AJ92:AK92"/>
    <mergeCell ref="X93:Y93"/>
    <mergeCell ref="Z93:AA93"/>
    <mergeCell ref="AB93:AC93"/>
    <mergeCell ref="AD93:AE93"/>
    <mergeCell ref="AF93:AG93"/>
    <mergeCell ref="AH93:AI93"/>
    <mergeCell ref="AJ93:AK93"/>
    <mergeCell ref="X94:Y94"/>
    <mergeCell ref="Z94:AA94"/>
    <mergeCell ref="AB94:AC94"/>
    <mergeCell ref="AD94:AE94"/>
    <mergeCell ref="AF94:AG94"/>
    <mergeCell ref="AH94:AI94"/>
    <mergeCell ref="AJ94:AK94"/>
    <mergeCell ref="X95:Y95"/>
    <mergeCell ref="Z95:AA95"/>
    <mergeCell ref="AB95:AC95"/>
    <mergeCell ref="AD95:AE95"/>
    <mergeCell ref="AF95:AG95"/>
    <mergeCell ref="AH95:AI95"/>
    <mergeCell ref="AJ95:AK95"/>
    <mergeCell ref="X96:Y96"/>
    <mergeCell ref="Z96:AA96"/>
    <mergeCell ref="AB96:AC96"/>
    <mergeCell ref="AD96:AE96"/>
    <mergeCell ref="AF96:AG96"/>
    <mergeCell ref="AH96:AI96"/>
    <mergeCell ref="AJ96:AK96"/>
    <mergeCell ref="X97:Y97"/>
    <mergeCell ref="Z97:AA97"/>
    <mergeCell ref="AB97:AC97"/>
    <mergeCell ref="AD97:AE97"/>
    <mergeCell ref="AF97:AG97"/>
    <mergeCell ref="AH97:AI97"/>
    <mergeCell ref="AJ97:AK97"/>
    <mergeCell ref="X98:Y98"/>
    <mergeCell ref="Z98:AA98"/>
    <mergeCell ref="AB98:AC98"/>
    <mergeCell ref="AD98:AE98"/>
    <mergeCell ref="AF98:AG98"/>
    <mergeCell ref="AH98:AI98"/>
    <mergeCell ref="AJ98:AK98"/>
    <mergeCell ref="X99:Y99"/>
    <mergeCell ref="Z99:AA99"/>
    <mergeCell ref="AB99:AC99"/>
    <mergeCell ref="AD99:AE99"/>
    <mergeCell ref="AF99:AG99"/>
    <mergeCell ref="AH99:AI99"/>
    <mergeCell ref="AJ99:AK99"/>
    <mergeCell ref="X100:Y100"/>
    <mergeCell ref="Z100:AA100"/>
    <mergeCell ref="AB100:AC100"/>
    <mergeCell ref="AD100:AE100"/>
    <mergeCell ref="AF100:AG100"/>
    <mergeCell ref="AH100:AI100"/>
    <mergeCell ref="AJ100:AK100"/>
    <mergeCell ref="X101:Y101"/>
    <mergeCell ref="Z101:AA101"/>
    <mergeCell ref="AB101:AC101"/>
    <mergeCell ref="AD101:AE101"/>
    <mergeCell ref="AF101:AG101"/>
    <mergeCell ref="AH101:AI101"/>
    <mergeCell ref="AJ101:AK101"/>
    <mergeCell ref="X102:Y102"/>
    <mergeCell ref="Z102:AA102"/>
    <mergeCell ref="AB102:AC102"/>
    <mergeCell ref="AD102:AE102"/>
    <mergeCell ref="AF102:AG102"/>
    <mergeCell ref="AH102:AI102"/>
    <mergeCell ref="AJ102:AK102"/>
    <mergeCell ref="X103:Y103"/>
    <mergeCell ref="Z103:AA103"/>
    <mergeCell ref="AB103:AC103"/>
    <mergeCell ref="AD103:AE103"/>
    <mergeCell ref="AF103:AG103"/>
    <mergeCell ref="AH103:AI103"/>
    <mergeCell ref="AJ103:AK103"/>
    <mergeCell ref="X104:Y104"/>
    <mergeCell ref="Z104:AA104"/>
    <mergeCell ref="AB104:AC104"/>
    <mergeCell ref="AD104:AE104"/>
    <mergeCell ref="AF104:AG104"/>
    <mergeCell ref="AH104:AI104"/>
    <mergeCell ref="AJ104:AK104"/>
    <mergeCell ref="X105:Y105"/>
    <mergeCell ref="Z105:AA105"/>
    <mergeCell ref="AB105:AC105"/>
    <mergeCell ref="AD105:AE105"/>
    <mergeCell ref="AF105:AG105"/>
    <mergeCell ref="AH105:AI105"/>
    <mergeCell ref="AJ105:AK105"/>
    <mergeCell ref="X106:Y106"/>
    <mergeCell ref="Z106:AA106"/>
    <mergeCell ref="AB106:AC106"/>
    <mergeCell ref="AD106:AE106"/>
    <mergeCell ref="AF106:AG106"/>
    <mergeCell ref="AH106:AI106"/>
    <mergeCell ref="AJ106:AK106"/>
    <mergeCell ref="X107:Y107"/>
    <mergeCell ref="Z107:AA107"/>
    <mergeCell ref="AB107:AC107"/>
    <mergeCell ref="AD107:AE107"/>
    <mergeCell ref="AF107:AG107"/>
    <mergeCell ref="AH107:AI107"/>
    <mergeCell ref="AJ107:AK107"/>
    <mergeCell ref="X108:Y108"/>
    <mergeCell ref="Z108:AA108"/>
    <mergeCell ref="AB108:AC108"/>
    <mergeCell ref="AD108:AE108"/>
    <mergeCell ref="AF108:AG108"/>
    <mergeCell ref="AH108:AI108"/>
    <mergeCell ref="AJ108:AK108"/>
    <mergeCell ref="X109:Y109"/>
    <mergeCell ref="Z109:AA109"/>
    <mergeCell ref="AB109:AC109"/>
    <mergeCell ref="AD109:AE109"/>
    <mergeCell ref="AF109:AG109"/>
    <mergeCell ref="AH109:AI109"/>
    <mergeCell ref="AJ109:AK10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